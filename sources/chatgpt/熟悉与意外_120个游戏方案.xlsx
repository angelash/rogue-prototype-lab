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35e936567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库" sheetId="1" r:id="R0b5219cdcdfb4d53"/>
    <x:sheet xmlns:r="http://schemas.openxmlformats.org/officeDocument/2006/relationships" name="原型优先级" sheetId="2" r:id="R6eae0c533a224b6a"/>
    <x:sheet xmlns:r="http://schemas.openxmlformats.org/officeDocument/2006/relationships" name="调整记录" sheetId="3" r:id="R30beb26ca2904f36"/>
    <x:sheet xmlns:r="http://schemas.openxmlformats.org/officeDocument/2006/relationships" name="文章要点" sheetId="4" r:id="Rfe6e6a1168f8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"/>
  </x:numFmts>
  <x:fonts count="20">
    <x:font>
      <x:sz val="11"/>
      <x:name val="Carlito"/>
    </x:font>
    <x:font>
      <x:sz val="11"/>
      <x:color rgb="FF1D2B3A"/>
      <x:name val="Noto Sans CJK SC"/>
    </x:font>
    <x:font>
      <x:b/>
      <x:sz val="16"/>
      <x:color rgb="FF17365D"/>
      <x:name val="Noto Sans CJK SC"/>
    </x:font>
    <x:font>
      <x:sz val="11"/>
      <x:color rgb="FF64748B"/>
      <x:name val="Noto Sans CJK SC"/>
    </x:font>
    <x:font>
      <x:b/>
      <x:sz val="11"/>
      <x:color rgb="FFFFFFFF"/>
      <x:name val="Noto Sans CJK SC"/>
    </x:font>
    <x:font>
      <x:b/>
      <x:sz val="11"/>
      <x:color rgb="FF274F78"/>
      <x:name val="Noto Sans CJK SC"/>
    </x:font>
    <x:font>
      <x:b/>
      <x:sz val="11"/>
      <x:color rgb="FF1D2B3A"/>
      <x:name val="Noto Sans CJK SC"/>
    </x:font>
    <x:font>
      <x:b/>
      <x:sz val="11"/>
      <x:color rgb="FF64748B"/>
      <x:name val="Noto Sans CJK SC"/>
    </x:font>
    <x:font>
      <x:b/>
      <x:sz val="14"/>
      <x:color rgb="FF17365D"/>
      <x:name val="Noto Sans CJK SC"/>
    </x:font>
    <x:font>
      <x:sz val="11"/>
      <x:color rgb="FF274F78"/>
      <x:name val="Noto Sans CJK SC"/>
    </x:font>
    <x:font>
      <x:sz val="11"/>
      <x:color rgb="FF1D2B3A"/>
      <x:name val="Droid Sans Fallback"/>
    </x:font>
    <x:font>
      <x:b/>
      <x:sz val="16"/>
      <x:color rgb="FF17365D"/>
      <x:name val="Droid Sans Fallback"/>
    </x:font>
    <x:font>
      <x:sz val="11"/>
      <x:color rgb="FF64748B"/>
      <x:name val="Droid Sans Fallback"/>
    </x:font>
    <x:font>
      <x:b/>
      <x:sz val="11"/>
      <x:color rgb="FFFFFFFF"/>
      <x:name val="Droid Sans Fallback"/>
    </x:font>
    <x:font>
      <x:b/>
      <x:sz val="11"/>
      <x:color rgb="FF274F78"/>
      <x:name val="Droid Sans Fallback"/>
    </x:font>
    <x:font>
      <x:b/>
      <x:sz val="11"/>
      <x:color rgb="FF1D2B3A"/>
      <x:name val="Droid Sans Fallback"/>
    </x:font>
    <x:font>
      <x:b/>
      <x:sz val="11"/>
      <x:color rgb="FF17365D"/>
      <x:name val="Droid Sans Fallback"/>
    </x:font>
    <x:font>
      <x:b/>
      <x:sz val="14"/>
      <x:color rgb="FF17365D"/>
      <x:name val="Droid Sans Fallback"/>
    </x:font>
    <x:font>
      <x:sz val="11"/>
      <x:color rgb="FF274F78"/>
      <x:name val="Droid Sans Fallback"/>
    </x:font>
    <x:font>
      <x:b/>
      <x:sz val="11"/>
      <x:color rgb="FF64748B"/>
      <x:name val="Droid Sans Fallback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D7E0EA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17365D"/>
      </x:top>
      <x:bottom/>
      <x:diagonal/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200" fontId="1" fillId="4" borderId="0" xfId="0" applyNumberFormat="1" applyFont="1" applyFill="1" applyBorder="1" applyAlignment="1">
      <x:alignment horizontal="center" vertical="top" wrapText="1"/>
    </x:xf>
    <x:xf numFmtId="200" fontId="5" fillId="3" borderId="0" xfId="0" applyNumberFormat="1" applyFont="1" applyFill="1" applyBorder="1" applyAlignment="1">
      <x:alignment horizontal="center" vertical="top" wrapText="1"/>
    </x:xf>
    <x:xf numFmtId="200" fontId="5" fillId="4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left" vertical="top" wrapText="1"/>
    </x:xf>
    <x:xf numFmtId="0" fontId="6" fillId="4" borderId="0" xfId="0" applyNumberFormat="1" applyFont="1" applyFill="1" applyBorder="1" applyAlignment="1">
      <x:alignment horizontal="left" vertical="top" wrapText="1"/>
    </x:xf>
    <x:xf numFmtId="0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3" fillId="5" borderId="3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horizontal="left" vertical="top" wrapText="1"/>
    </x:xf>
    <x:xf numFmtId="0" fontId="10" fillId="6" borderId="0" xfId="0" applyNumberFormat="1" applyFont="1" applyFill="1" applyBorder="1" applyAlignment="1">
      <x:alignment horizontal="left" vertical="top" wrapText="1"/>
    </x:xf>
    <x:xf numFmtId="0" fontId="10" fillId="7" borderId="0" xfId="0" applyNumberFormat="1" applyFont="1" applyFill="1" applyBorder="1" applyAlignment="1">
      <x:alignment horizontal="left" vertical="top" wrapText="1"/>
    </x:xf>
    <x:xf numFmtId="0" fontId="10" fillId="6" borderId="0" xfId="0" applyNumberFormat="1" applyFont="1" applyFill="1" applyBorder="1" applyAlignment="1">
      <x:alignment horizontal="center" vertical="top" wrapText="1"/>
    </x:xf>
    <x:xf numFmtId="0" fontId="10" fillId="7" borderId="0" xfId="0" applyNumberFormat="1" applyFont="1" applyFill="1" applyBorder="1" applyAlignment="1">
      <x:alignment horizontal="center" vertical="top" wrapText="1"/>
    </x:xf>
    <x:xf numFmtId="0" fontId="14" fillId="6" borderId="0" xfId="0" applyNumberFormat="1" applyFont="1" applyFill="1" applyBorder="1" applyAlignment="1">
      <x:alignment horizontal="center" vertical="top" wrapText="1"/>
    </x:xf>
    <x:xf numFmtId="0" fontId="14" fillId="7" borderId="0" xfId="0" applyNumberFormat="1" applyFont="1" applyFill="1" applyBorder="1" applyAlignment="1">
      <x:alignment horizontal="center" vertical="top" wrapText="1"/>
    </x:xf>
    <x:xf numFmtId="0" fontId="15" fillId="6" borderId="0" xfId="0" applyNumberFormat="1" applyFont="1" applyFill="1" applyBorder="1" applyAlignment="1">
      <x:alignment horizontal="left" vertical="top" wrapText="1"/>
    </x:xf>
    <x:xf numFmtId="0" fontId="15" fillId="7" borderId="0" xfId="0" applyNumberFormat="1" applyFont="1" applyFill="1" applyBorder="1" applyAlignment="1">
      <x:alignment horizontal="left" vertical="top" wrapText="1"/>
    </x:xf>
    <x:xf numFmtId="200" fontId="14" fillId="6" borderId="0" xfId="0" applyNumberFormat="1" applyFont="1" applyFill="1" applyBorder="1" applyAlignment="1">
      <x:alignment horizontal="center" vertical="top" wrapText="1"/>
    </x:xf>
    <x:xf numFmtId="200" fontId="14" fillId="7" borderId="0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center"/>
    </x:xf>
    <x:xf numFmtId="202" fontId="16" fillId="0" borderId="0" xfId="0" applyNumberFormat="1" applyFont="1" applyFill="1" applyBorder="1" applyAlignment="1">
      <x:alignment vertical="center"/>
    </x:xf>
    <x:xf numFmtId="200" fontId="10" fillId="6" borderId="0" xfId="0" applyNumberFormat="1" applyFont="1" applyFill="1" applyBorder="1" applyAlignment="1">
      <x:alignment horizontal="center" vertical="top" wrapText="1"/>
    </x:xf>
    <x:xf numFmtId="200" fontId="10" fillId="7" borderId="0" xfId="0" applyNumberFormat="1" applyFont="1" applyFill="1" applyBorder="1" applyAlignment="1">
      <x:alignment horizontal="center" vertical="top" wrapText="1"/>
    </x:xf>
    <x:xf numFmtId="200" fontId="14" fillId="6" borderId="5" xfId="0" applyNumberFormat="1" applyFont="1" applyFill="1" applyBorder="1" applyAlignment="1">
      <x:alignment horizontal="center" vertical="top" wrapText="1"/>
    </x:xf>
    <x:xf numFmtId="0" fontId="15" fillId="6" borderId="5" xfId="0" applyNumberFormat="1" applyFont="1" applyFill="1" applyBorder="1" applyAlignment="1">
      <x:alignment horizontal="left" vertical="top" wrapText="1"/>
    </x:xf>
    <x:xf numFmtId="0" fontId="10" fillId="6" borderId="5" xfId="0" applyNumberFormat="1" applyFont="1" applyFill="1" applyBorder="1" applyAlignment="1">
      <x:alignment horizontal="left" vertical="top" wrapText="1"/>
    </x:xf>
    <x:xf numFmtId="200" fontId="14" fillId="7" borderId="5" xfId="0" applyNumberFormat="1" applyFont="1" applyFill="1" applyBorder="1" applyAlignment="1">
      <x:alignment horizontal="center" vertical="top" wrapText="1"/>
    </x:xf>
    <x:xf numFmtId="0" fontId="15" fillId="7" borderId="5" xfId="0" applyNumberFormat="1" applyFont="1" applyFill="1" applyBorder="1" applyAlignment="1">
      <x:alignment horizontal="left" vertical="top" wrapText="1"/>
    </x:xf>
    <x:xf numFmtId="0" fontId="10" fillId="7" borderId="5" xfId="0" applyNumberFormat="1" applyFont="1" applyFill="1" applyBorder="1" applyAlignment="1">
      <x:alignment horizontal="left" vertical="top" wrapText="1"/>
    </x:xf>
    <x:xf numFmtId="200" fontId="10" fillId="6" borderId="0" xfId="0" applyNumberFormat="1" applyFont="1" applyFill="1" applyBorder="1" applyAlignment="1">
      <x:alignment horizontal="left" vertical="top" wrapText="1"/>
    </x:xf>
    <x:xf numFmtId="200" fontId="10" fillId="7" borderId="0" xfId="0" applyNumberFormat="1" applyFont="1" applyFill="1" applyBorder="1" applyAlignment="1">
      <x:alignment horizontal="left" vertical="top" wrapText="1"/>
    </x:xf>
    <x:xf numFmtId="0" fontId="17" fillId="0" borderId="0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horizontal="left" vertical="top" wrapText="1"/>
    </x:xf>
    <x:xf numFmtId="0" fontId="18" fillId="7" borderId="0" xfId="0" applyNumberFormat="1" applyFont="1" applyFill="1" applyBorder="1" applyAlignment="1">
      <x:alignment horizontal="left" vertical="top" wrapText="1"/>
    </x:xf>
    <x:xf numFmtId="0" fontId="19" fillId="0" borderId="1" xfId="0" applyNumberFormat="1" applyFont="1" applyFill="1" applyBorder="1" applyAlignment="1">
      <x:alignment vertical="center"/>
    </x:xf>
    <x:xf numFmtId="201" fontId="19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9fcd0d17e4d02" /><Relationship Type="http://schemas.openxmlformats.org/officeDocument/2006/relationships/theme" Target="/xl/theme/theme1.xml" Id="R2d2094eb2b6f4044" /><Relationship Type="http://schemas.openxmlformats.org/officeDocument/2006/relationships/sharedStrings" Target="/xl/sharedStrings.xml" Id="R23bd75291f044083" /><Relationship Type="http://schemas.openxmlformats.org/officeDocument/2006/relationships/worksheet" Target="/xl/worksheets/sheet1.xml" Id="R0b5219cdcdfb4d53" /><Relationship Type="http://schemas.openxmlformats.org/officeDocument/2006/relationships/worksheet" Target="/xl/worksheets/sheet2.xml" Id="R6eae0c533a224b6a" /><Relationship Type="http://schemas.openxmlformats.org/officeDocument/2006/relationships/worksheet" Target="/xl/worksheets/sheet3.xml" Id="R30beb26ca2904f36" /><Relationship Type="http://schemas.openxmlformats.org/officeDocument/2006/relationships/worksheet" Target="/xl/worksheets/sheet4.xml" Id="Rfe6e6a1168f8482d" /></Relationships>
</file>

<file path=xl/tables/table1.xml><?xml version="1.0" encoding="utf-8"?>
<x:table xmlns:x="http://schemas.openxmlformats.org/spreadsheetml/2006/main" id="1" name="GameConcepts" displayName="GameConcepts" ref="A6:Q37" headerRowCount="1" totalsRowCount="0" totalsRowShown="0">
  <x:autoFilter ref="A6:Q37"/>
  <x:tableColumns count="17">
    <x:tableColumn id="1" name="ID"/>
    <x:tableColumn id="2" name="方案"/>
    <x:tableColumn id="3" name="熟悉入口"/>
    <x:tableColumn id="4" name="关键反转"/>
    <x:tableColumn id="5" name="核心动作"/>
    <x:tableColumn id="6" name="系统循环"/>
    <x:tableColumn id="7" name="随机与补救"/>
    <x:tableColumn id="8" name="主要取舍"/>
    <x:tableColumn id="9" name="范围限制"/>
    <x:tableColumn id="10" name="验证问题"/>
    <x:tableColumn id="11" name="原型顺序"/>
    <x:tableColumn id="12" name="证据状态"/>
    <x:tableColumn id="13" name="来源类型"/>
    <x:tableColumn id="14" name="原案来源 ID"/>
    <x:tableColumn id="15" name="处理方式"/>
    <x:tableColumn id="16" name="复审理由"/>
    <x:tableColumn id="17" name="具体调整与演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totypePriorities" displayName="PrototypePriorities" ref="A6:D51" headerRowCount="1" totalsRowCount="0" totalsRowShown="0">
  <x:autoFilter ref="A6:D51"/>
  <x:tableColumns count="4">
    <x:tableColumn id="1" name="ID"/>
    <x:tableColumn id="2" name="方案"/>
    <x:tableColumn id="3" name="设计项"/>
    <x:tableColumn id="4" name="原型设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ceptReviewAudit" displayName="ConceptReviewAudit" ref="A6:P126" headerRowCount="1" totalsRowCount="0" totalsRowShown="0">
  <x:autoFilter ref="A6:P126"/>
  <x:tableColumns count="16">
    <x:tableColumn id="1" name="原 ID"/>
    <x:tableColumn id="2" name="原名称"/>
    <x:tableColumn id="3" name="处理结果"/>
    <x:tableColumn id="4" name="本轮位置"/>
    <x:tableColumn id="5" name="最终归属 ID"/>
    <x:tableColumn id="6" name="最终归属说明"/>
    <x:tableColumn id="7" name="处理理由"/>
    <x:tableColumn id="8" name="主要修改"/>
    <x:tableColumn id="9" name="修订核心动作"/>
    <x:tableColumn id="10" name="修订系统循环"/>
    <x:tableColumn id="11" name="修订范围限制"/>
    <x:tableColumn id="12" name="验证问题"/>
    <x:tableColumn id="13" name="原优先级"/>
    <x:tableColumn id="14" name="原机制反转"/>
    <x:tableColumn id="15" name="修订后名称"/>
    <x:tableColumn id="16" name="原合并目标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iginalConceptSnapshot" displayName="OriginalConceptSnapshot" ref="A130:K250" headerRowCount="1" totalsRowCount="0" totalsRowShown="0">
  <x:autoFilter ref="A130:K250"/>
  <x:tableColumns count="11">
    <x:tableColumn id="1" name="原 ID"/>
    <x:tableColumn id="2" name="原方案"/>
    <x:tableColumn id="3" name="原类别"/>
    <x:tableColumn id="4" name="原成本估计"/>
    <x:tableColumn id="5" name="原优先级"/>
    <x:tableColumn id="6" name="原熟悉动作或规则"/>
    <x:tableColumn id="7" name="原机制反转"/>
    <x:tableColumn id="8" name="原构筑对象"/>
    <x:tableColumn id="9" name="原演示爽点"/>
    <x:tableColumn id="10" name="原主要受众"/>
    <x:tableColumn id="11" name="原关键风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riginalFinalistArchive" displayName="OriginalFinalistArchive" ref="A254:F326" headerRowCount="1" totalsRowCount="0" totalsRowShown="0">
  <x:autoFilter ref="A254:F326"/>
  <x:tableColumns count="6">
    <x:tableColumn id="1" name="原 ID"/>
    <x:tableColumn id="2" name="原方案"/>
    <x:tableColumn id="3" name="原设计项"/>
    <x:tableColumn id="4" name="本轮处理"/>
    <x:tableColumn id="5" name="本轮位置"/>
    <x:tableColumn id="6" name="原始详细内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rticlePrinciples" displayName="ArticlePrinciples" ref="A6:H18" headerRowCount="1" totalsRowCount="0" totalsRowShown="0">
  <x:autoFilter ref="A6:H18"/>
  <x:tableColumns count="8">
    <x:tableColumn id="1" name="原则 ID"/>
    <x:tableColumn id="2" name="文章章节"/>
    <x:tableColumn id="3" name="文章主张"/>
    <x:tableColumn id="4" name="适用边界"/>
    <x:tableColumn id="5" name="设计规则"/>
    <x:tableColumn id="6" name="复审问题"/>
    <x:tableColumn id="7" name="对本轮方案的影响"/>
    <x:tableColumn id="8" name="来源 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elopmentWorkflow" displayName="DevelopmentWorkflow" ref="A21:E28" headerRowCount="1" totalsRowCount="0" totalsRowShown="0">
  <x:autoFilter ref="A21:E28"/>
  <x:tableColumns count="5">
    <x:tableColumn id="1" name="步骤"/>
    <x:tableColumn id="2" name="阶段"/>
    <x:tableColumn id="3" name="行动"/>
    <x:tableColumn id="4" name="产物"/>
    <x:tableColumn id="5" name="进入下一步的条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viewSources" displayName="ReviewSources" ref="A31:G40" headerRowCount="1" totalsRowCount="0" totalsRowShown="0">
  <x:autoFilter ref="A31:G40"/>
  <x:tableColumns count="7">
    <x:tableColumn id="1" name="来源 ID"/>
    <x:tableColumn id="2" name="名称"/>
    <x:tableColumn id="3" name="来源类型"/>
    <x:tableColumn id="4" name="直接支持的事实"/>
    <x:tableColumn id="5" name="不能据此推出"/>
    <x:tableColumn id="6" name="原文位置"/>
    <x:tableColumn id="7" name="链接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riginalReferenceSources" displayName="OriginalReferenceSources" ref="A43:E48" headerRowCount="1" totalsRowCount="0" totalsRowShown="0">
  <x:autoFilter ref="A43:E48"/>
  <x:tableColumns count="5">
    <x:tableColumn id="1" name="序号"/>
    <x:tableColumn id="2" name="领域"/>
    <x:tableColumn id="3" name="相邻作品"/>
    <x:tableColumn id="4" name="原版参考描述"/>
    <x:tableColumn id="5" name="链接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viewDefinitions" displayName="ReviewDefinitions" ref="A51:C70" headerRowCount="1" totalsRowCount="0" totalsRowShown="0">
  <x:autoFilter ref="A51:C70"/>
  <x:tableColumns count="3">
    <x:tableColumn id="1" name="标记"/>
    <x:tableColumn id="2" name="事项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e3001b98c942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75463a79f34a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c039aff67245d3" /><Relationship Type="http://schemas.openxmlformats.org/officeDocument/2006/relationships/table" Target="/xl/tables/table4.xml" Id="R2062a232db314ced" /><Relationship Type="http://schemas.openxmlformats.org/officeDocument/2006/relationships/table" Target="/xl/tables/table5.xml" Id="R5382d4ee652e41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27e8889635a24c6c" /><Relationship Type="http://schemas.openxmlformats.org/officeDocument/2006/relationships/table" Target="/xl/tables/table7.xml" Id="R36fc9151220541bf" /><Relationship Type="http://schemas.openxmlformats.org/officeDocument/2006/relationships/table" Target="/xl/tables/table8.xml" Id="Rba54c21cec7c4b7f" /><Relationship Type="http://schemas.openxmlformats.org/officeDocument/2006/relationships/table" Target="/xl/tables/table9.xml" Id="Rf51342249ca94191" /><Relationship Type="http://schemas.openxmlformats.org/officeDocument/2006/relationships/table" Target="/xl/tables/table10.xml" Id="Rc4c02b40f8c44f75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23.329999923706055" hidden="0" customWidth="1"/>
    <x:col min="3" max="3" width="36.66999816894531" hidden="0" customWidth="1"/>
    <x:col min="4" max="4" width="44.439998626708984" hidden="0" customWidth="1"/>
    <x:col min="5" max="5" width="38.88999938964844" hidden="0" customWidth="1"/>
    <x:col min="6" max="6" width="48.88999938964844" hidden="0" customWidth="1"/>
    <x:col min="7" max="7" width="45.560001373291016" hidden="0" customWidth="1"/>
    <x:col min="8" max="8" width="44.439998626708984" hidden="0" customWidth="1"/>
    <x:col min="9" max="9" width="43.33000183105469" hidden="0" customWidth="1"/>
    <x:col min="10" max="10" width="47.779998779296875" hidden="0" customWidth="1"/>
    <x:col min="11" max="11" width="14.4399995803833" hidden="0" customWidth="1"/>
    <x:col min="12" max="12" width="14.4399995803833" hidden="0" customWidth="1"/>
    <x:col min="13" max="13" width="13.329999923706055" hidden="0" customWidth="1"/>
    <x:col min="14" max="14" width="16.670000076293945" hidden="0" customWidth="1"/>
    <x:col min="15" max="15" width="14.4399995803833" hidden="0" customWidth="1"/>
    <x:col min="16" max="16" width="41.11000061035156" hidden="0" customWidth="1"/>
    <x:col min="17" max="17" width="48.88999938964844" hidden="0" customWidth="1"/>
  </x:cols>
  <x:sheetData>
    <x:row r="1" ht="7.5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</x:row>
    <x:row r="2" ht="25.5" customHeight="1">
      <x:c r="A2" s="40" t="str">
        <x:v>熟悉与意外：复审后的游戏方案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</x:row>
    <x:row r="3" ht="20.25" customHeight="1">
      <x:c r="A3" s="41" t="str">
        <x:v>主池方案</x:v>
      </x:c>
      <x:c r="B3" s="63" t="n">
        <x:f>COUNTA(A7:A37)</x:f>
        <x:v>31</x:v>
      </x:c>
      <x:c r="C3" s="41" t="str">
        <x:v>原案复审</x:v>
      </x:c>
      <x:c r="D3" s="63" t="n">
        <x:f>COUNTA('调整记录'!A7:A126)</x:f>
        <x:v>120</x:v>
      </x:c>
      <x:c r="E3" s="41" t="str">
        <x:v>新增方案</x:v>
      </x:c>
      <x:c r="F3" s="63" t="n">
        <x:f>COUNTIFS(M7:M37,"新增")</x:f>
        <x:v>6</x:v>
      </x:c>
      <x:c r="G3" s="41" t="str">
        <x:v>首批原型</x:v>
      </x:c>
      <x:c r="H3" s="63" t="n">
        <x:f>COUNTIFS(K7:K37,"首批验证")</x:f>
        <x:v>3</x:v>
      </x:c>
      <x:c r="I3" s="41"/>
      <x:c r="J3" s="41"/>
      <x:c r="K3" s="41"/>
      <x:c r="L3" s="41"/>
      <x:c r="M3" s="41"/>
      <x:c r="N3" s="41"/>
      <x:c r="O3" s="41"/>
      <x:c r="P3" s="41"/>
      <x:c r="Q3" s="41"/>
    </x:row>
    <x:row r="4" ht="20.25" customHeight="1">
      <x:c r="A4" s="41" t="str">
        <x:v>本轮按小团队可完成核心原型验证筛选。平台、商业模式、完整制作预算尚未指定，不默认免费手游或UE重制作。 全部候选均为纸面设计假设，尚未完成玩家实测。保留表示值得验证，移出表示当前提案依据不足，暂缓表示需另一类受众或制作条件。</x:v>
      </x:c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</x:row>
    <x:row r="5" ht="6.75" customHeight="1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</x:row>
    <x:row r="6" ht="28.5" customHeight="1">
      <x:c r="A6" s="46" t="str">
        <x:v>ID</x:v>
      </x:c>
      <x:c r="B6" s="47" t="str">
        <x:v>方案</x:v>
      </x:c>
      <x:c r="C6" s="47" t="str">
        <x:v>熟悉入口</x:v>
      </x:c>
      <x:c r="D6" s="47" t="str">
        <x:v>关键反转</x:v>
      </x:c>
      <x:c r="E6" s="47" t="str">
        <x:v>核心动作</x:v>
      </x:c>
      <x:c r="F6" s="47" t="str">
        <x:v>系统循环</x:v>
      </x:c>
      <x:c r="G6" s="47" t="str">
        <x:v>随机与补救</x:v>
      </x:c>
      <x:c r="H6" s="47" t="str">
        <x:v>主要取舍</x:v>
      </x:c>
      <x:c r="I6" s="47" t="str">
        <x:v>范围限制</x:v>
      </x:c>
      <x:c r="J6" s="47" t="str">
        <x:v>验证问题</x:v>
      </x:c>
      <x:c r="K6" s="47" t="str">
        <x:v>原型顺序</x:v>
      </x:c>
      <x:c r="L6" s="47" t="str">
        <x:v>证据状态</x:v>
      </x:c>
      <x:c r="M6" s="47" t="str">
        <x:v>来源类型</x:v>
      </x:c>
      <x:c r="N6" s="47" t="str">
        <x:v>原案来源 ID</x:v>
      </x:c>
      <x:c r="O6" s="47" t="str">
        <x:v>处理方式</x:v>
      </x:c>
      <x:c r="P6" s="47" t="str">
        <x:v>复审理由</x:v>
      </x:c>
      <x:c r="Q6" s="48" t="str">
        <x:v>具体调整与演示</x:v>
      </x:c>
    </x:row>
    <x:row r="7" ht="73.5" customHeight="1">
      <x:c r="A7" s="60" t="n">
        <x:v>32</x:v>
      </x:c>
      <x:c r="B7" s="58" t="str">
        <x:v>回转寿司工坊</x:v>
      </x:c>
      <x:c r="C7" s="52" t="str">
        <x:v>盘子沿传送带经过客人</x:v>
      </x:c>
      <x:c r="D7" s="52" t="str">
        <x:v>切分对多位小食客有利，却会挤占等待高级料理的盘位。同一把刀会随订单和容量变得值得保留或拆掉。</x:v>
      </x:c>
      <x:c r="E7" s="52" t="str">
        <x:v>投入食材、有限挪动站点，并在每圈运行前将盘子标记为可交付或保留。</x:v>
      </x:c>
      <x:c r="F7" s="52" t="str">
        <x:v>读订单，安排有限工位，投入原料并标记盘子，逐站结算加工和交付，收款或让保留盘继续占位，购买/更换组件，再面对新订单。</x:v>
      </x:c>
      <x:c r="G7" s="52" t="str">
        <x:v>随机的是下一轮订单和有限站点候选，当前订单与加工规则可见。保留基础可售料理与弃单/转卖途径，使关键站点缺席时仍可运营。</x:v>
      </x:c>
      <x:c r="H7" s="52" t="str">
        <x:v>整份高价与切份多客回款互有优势；多加工会占用盘位并消耗等待时间；资金用于当轮原料或后续设备。</x:v>
      </x:c>
      <x:c r="I7" s="52" t="str">
        <x:v>二维单环，6个站位，6种基础料理状态，4种加工站，2类互斥订单。固定运行步数。首轮不做自由多环、员工经营、物理切菜或多品类餐饮。</x:v>
      </x:c>
      <x:c r="J7" s="52" t="str">
        <x:v>让玩家用同一套站点应对两种需求，观察是否主动改造和解释取舍；撤去关键站点后观察是否能转为基础出售；删掉切分规则比较决策是否明显减少。 停止信号：改订单后仍总用同一排列；后半段只重复点开始；玩家只看见涨钱而说不出工位的作用。</x:v>
      </x:c>
      <x:c r="K7" s="54" t="str">
        <x:v>首批验证</x:v>
      </x:c>
      <x:c r="L7" s="54" t="str">
        <x:v>尚未实测</x:v>
      </x:c>
      <x:c r="M7" s="54" t="str">
        <x:v>旧案修订</x:v>
      </x:c>
      <x:c r="N7" s="64" t="str">
        <x:v>032、040、074、079</x:v>
      </x:c>
      <x:c r="O7" s="54" t="str">
        <x:v>保留深化</x:v>
      </x:c>
      <x:c r="P7" s="52" t="str">
        <x:v>单环、盘位和离席窗口能让工序与售卖时机发生冲突；固定加工站顺序本身只证明生产线能运转。</x:v>
      </x:c>
      <x:c r="Q7" s="52" t="str">
        <x:v>加工站改变料理状态；切分把同一总量分为多份并多占盘位；每圈前标记可交付/保留，顾客只取符合需求的可交付盘；保留盘持续占位并承担离席风险。空盘经清洗消耗资源后恢复可用容量。</x:v>
      </x:c>
    </x:row>
    <x:row r="8" ht="73.5" customHeight="1">
      <x:c r="A8" s="61" t="n">
        <x:v>13</x:v>
      </x:c>
      <x:c r="B8" s="59" t="str">
        <x:v>套圈改造摊</x:v>
      </x:c>
      <x:c r="C8" s="53" t="str">
        <x:v>扔圈套住奖品</x:v>
      </x:c>
      <x:c r="D8" s="53" t="str">
        <x:v>先保留反弹板，再利用风扇改变入射方向，能用普通圈触及原本难够的奖品。同一机关可能帮助远投，也可能挡住稳定近投。</x:v>
      </x:c>
      <x:c r="E8" s="53" t="str">
        <x:v>选择投掷角度与力度，观察落点，决定奖品兑现或留场，再调整有限摆位。</x:v>
      </x:c>
      <x:c r="F8" s="53" t="str">
        <x:v>读场地，投圈，结算命中，处理奖品，有限改场，购买圈或机关，再挑战新陈列。</x:v>
      </x:c>
      <x:c r="G8" s="53" t="str">
        <x:v>随机奖品候选和预告风况，命中采用可练习的几何规则。落点预览只给基础范围，留出操作学习。失手保留场地并快速再投。</x:v>
      </x:c>
      <x:c r="H8" s="53" t="str">
        <x:v>兑现保证当轮过关但损失后续机关；保留改变下一投但占位并延后收益；大圈容易命中却更贵或更重。</x:v>
      </x:c>
      <x:c r="I8" s="53" t="str">
        <x:v>二维侧视或固定平面判定，一种基础圈、两种机关、六个奖品位置。先不做真实三维套环、任意软体、圈的无限复制或复杂店铺经营。</x:v>
      </x:c>
      <x:c r="J8" s="53" t="str">
        <x:v>先在无成长条件下测试连续投掷是否愿意重试；再加入两种机关，观察玩家是否愿为下一轮牺牲当前现金，并随回款压力改变选择。 停止信号：投掷结果无法练习改善；留场与兑现长期只有一个优选；需要复杂机关动画才能掩盖单次操作无趣。</x:v>
      </x:c>
      <x:c r="K8" s="55" t="str">
        <x:v>首批验证</x:v>
      </x:c>
      <x:c r="L8" s="55" t="str">
        <x:v>尚未实测</x:v>
      </x:c>
      <x:c r="M8" s="55" t="str">
        <x:v>旧案修订</x:v>
      </x:c>
      <x:c r="N8" s="65" t="str">
        <x:v>013</x:v>
      </x:c>
      <x:c r="O8" s="55" t="str">
        <x:v>保留深化</x:v>
      </x:c>
      <x:c r="P8" s="53" t="str">
        <x:v>把套中奖品留场改造下一投，把技术动作、构筑和兑现取舍连在一起；效果可由飞行轨迹直接展示。</x:v>
      </x:c>
      <x:c r="Q8" s="53" t="str">
        <x:v>圈采用稳定轨迹；奖品被套后可兑现并移走，或留场成为风扇、反弹板等明确机关；每件机关占场地位置；使用会消耗能量或耐久。</x:v>
      </x:c>
    </x:row>
    <x:row r="9" ht="73.5" customHeight="1">
      <x:c r="A9" s="60" t="n">
        <x:v>51</x:v>
      </x:c>
      <x:c r="B9" s="58" t="str">
        <x:v>回收保洁队</x:v>
      </x:c>
      <x:c r="C9" s="52" t="str">
        <x:v>吸尘、拖地、清洗污渍</x:v>
      </x:c>
      <x:c r="D9" s="52" t="str">
        <x:v>碎屑占满桶后，原本高效的广域吸头可能不再适合；装上转换滤芯可以边吸边消耗存料，为高价值材料留空间，同时获得处理顽渍的清洁剂。</x:v>
      </x:c>
      <x:c r="E9" s="52" t="str">
        <x:v>移动刷头，吸取或清洗，选择保留哪种材料，在合适位置喷出或投入回收。</x:v>
      </x:c>
      <x:c r="F9" s="52" t="str">
        <x:v>观察房间，选择先处理的区域，吸取并存储，转化或出售材料，利用产物清理难点，交付房间并选择下一件工具。</x:v>
      </x:c>
      <x:c r="G9" s="52" t="str">
        <x:v>房间布局、污物构成和工具候选可变，材料转换固定可读。基础工具可完成普通污物，特殊工具改善效率与路线，避免缺关键件直接无解。</x:v>
      </x:c>
      <x:c r="H9" s="52" t="str">
        <x:v>先吸大面积碎屑可快速回收，却可能装满桶而挡住关键材料；立即卖掉腾容量，或留下合成工具消耗品；工具扩容与处理效率争用升级位置。</x:v>
      </x:c>
      <x:c r="I9" s="52" t="str">
        <x:v>二维或简单俯视单房间，三类污物，两类可回收材料，两种刷头，一个滤芯。先不做敌人、元素战斗、机器人、真实流体和自由燃烧。</x:v>
      </x:c>
      <x:c r="J9" s="52" t="str">
        <x:v>先关闭升级，仅换房间和桶容量，观察玩家是否选择不同清洁顺序；再加入一个转换滤芯，观察它是否改变吸取位置与出售时机。 停止信号：所有房间都只按最近距离扫完；材料从不影响选择；玩家只有看见升级奖励才愿继续操作。</x:v>
      </x:c>
      <x:c r="K9" s="54" t="str">
        <x:v>首批验证</x:v>
      </x:c>
      <x:c r="L9" s="54" t="str">
        <x:v>尚未实测</x:v>
      </x:c>
      <x:c r="M9" s="54" t="str">
        <x:v>旧案修订</x:v>
      </x:c>
      <x:c r="N9" s="64" t="str">
        <x:v>051、057、119</x:v>
      </x:c>
      <x:c r="O9" s="54" t="str">
        <x:v>重构</x:v>
      </x:c>
      <x:c r="P9" s="52" t="str">
        <x:v>吸入再利用具有因果潜力，但火油电怪物战斗与清洁并列会翻倍范围；原清洁电网未证明它在清洁目标中有用。</x:v>
      </x:c>
      <x:c r="Q9" s="52" t="str">
        <x:v>干碎屑可吸取并占桶位；滤芯把特定污物转成有限清洁剂；清洁剂提高某种顽渍的去除效率；腾桶与换工具要消耗时间或耐久。</x:v>
      </x:c>
    </x:row>
    <x:row r="10" ht="45" customHeight="1">
      <x:c r="A10" s="61" t="n">
        <x:v>1</x:v>
      </x:c>
      <x:c r="B10" s="59" t="str">
        <x:v>吃子进化棋</x:v>
      </x:c>
      <x:c r="C10" s="53" t="str">
        <x:v>按走法移动、吃掉对方棋子</x:v>
      </x:c>
      <x:c r="D10" s="53" t="str">
        <x:v>只允许保留两种走法；吃子后可继承、替换或拆成改造费用。敌方下一步威胁提前展示。</x:v>
      </x:c>
      <x:c r="E10" s="53" t="str">
        <x:v>选棋子、预览移动、吃子后决定保留什么。</x:v>
      </x:c>
      <x:c r="F10" s="53" t="str">
        <x:v>看威胁→移动与捕获→交换走法或存钱→下一张局面验证→有限槽位迫使重新选择。</x:v>
      </x:c>
      <x:c r="G10" s="53" t="str">
        <x:v>敌方威胁提前显示，走法供给可变；保留基础移动与放弃继承选项。</x:v>
      </x:c>
      <x:c r="H10" s="53" t="str">
        <x:v>两种走法槽在当前生存、未来可达性与改造资金之间取舍。</x:v>
      </x:c>
      <x:c r="I10" s="53" t="str">
        <x:v>单屏离散棋盘、三种基本走法、最多三个己方单位；不做完整棋类规则和多层天赋。</x:v>
      </x:c>
      <x:c r="J10" s="53" t="str">
        <x:v>普通走法开局也能过关；玩家会因棋盘局面放弃稀有走法，并能指出某次绕后由哪次替换产生。</x:v>
      </x:c>
      <x:c r="K10" s="55" t="str">
        <x:v>后续候选</x:v>
      </x:c>
      <x:c r="L10" s="55" t="str">
        <x:v>尚未实测</x:v>
      </x:c>
      <x:c r="M10" s="55" t="str">
        <x:v>旧案修订</x:v>
      </x:c>
      <x:c r="N10" s="65" t="str">
        <x:v>001、002</x:v>
      </x:c>
      <x:c r="O10" s="55" t="str">
        <x:v>保留深化</x:v>
      </x:c>
      <x:c r="P10" s="53" t="str">
        <x:v>移动与吃子本身已经成立，继承走法会改变可达位置；优势来自空间关系而非把攻击数值相加。</x:v>
      </x:c>
      <x:c r="Q10" s="53" t="str">
        <x:v>只允许保留两种走法；吃子后可继承、替换或拆成改造费用。敌方下一步威胁提前展示。</x:v>
      </x:c>
    </x:row>
    <x:row r="11" ht="45" customHeight="1">
      <x:c r="A11" s="60" t="n">
        <x:v>4</x:v>
      </x:c>
      <x:c r="B11" s="58" t="str">
        <x:v>改路大富翁</x:v>
      </x:c>
      <x:c r="C11" s="52" t="str">
        <x:v>掷骰子、走格子、经过商店</x:v>
      </x:c>
      <x:c r="D11" s="52" t="str">
        <x:v>每轮只准改两格；回退消耗路标耐久，分岔提供可选路径；展示近期收益区间和下一圈目标。</x:v>
      </x:c>
      <x:c r="E11" s="52" t="str">
        <x:v>调整少量地块，掷骰，在岔路选择去向。</x:v>
      </x:c>
      <x:c r="F11" s="52" t="str">
        <x:v>随机给地块→花钱改路或保留现金→走圈兑现→检查分数目标→更新奖励和威胁。</x:v>
      </x:c>
      <x:c r="G11" s="52" t="str">
        <x:v>随机骰值和地块候选；每轮改两格，分岔可选，展示未来目标及规则。</x:v>
      </x:c>
      <x:c r="H11" s="52" t="str">
        <x:v>兑现地块与改路组件争用空间；回退消耗耐久，改路占用现金。</x:v>
      </x:c>
      <x:c r="I11" s="52" t="str">
        <x:v>固定短环、少量岔路、六类地块；不做人际交易、地产体系或无限自循环。</x:v>
      </x:c>
      <x:c r="J11" s="52" t="str">
        <x:v>在同一种子下，不同改路形成可解释的收益与稳定性差异；低点骰也有可做决定，重开不是只为刷开局。</x:v>
      </x:c>
      <x:c r="K11" s="54" t="str">
        <x:v>后续候选</x:v>
      </x:c>
      <x:c r="L11" s="54" t="str">
        <x:v>尚未实测</x:v>
      </x:c>
      <x:c r="M11" s="54" t="str">
        <x:v>旧案修订</x:v>
      </x:c>
      <x:c r="N11" s="64" t="str">
        <x:v>004、018、078</x:v>
      </x:c>
      <x:c r="O11" s="54" t="str">
        <x:v>保留深化</x:v>
      </x:c>
      <x:c r="P11" s="52" t="str">
        <x:v>掷骰走格与改地块直接改变未来命中分布；不需要额外战斗就能统一验证构筑和经济。</x:v>
      </x:c>
      <x:c r="Q11" s="52" t="str">
        <x:v>每轮只准改两格；回退消耗路标耐久，分岔提供可选路径；展示近期收益区间和下一圈目标。</x:v>
      </x:c>
    </x:row>
    <x:row r="12" ht="45" customHeight="1">
      <x:c r="A12" s="61" t="n">
        <x:v>10</x:v>
      </x:c>
      <x:c r="B12" s="59" t="str">
        <x:v>象棋消防队</x:v>
      </x:c>
      <x:c r="C12" s="53" t="str">
        <x:v>车走直线、马走日、炮隔子</x:v>
      </x:c>
      <x:c r="D12" s="53" t="str">
        <x:v>只用车、马、炮三类救援方式；每轮公布火势变化，升级改变行动方法而非单纯喷水量。</x:v>
      </x:c>
      <x:c r="E12" s="53" t="str">
        <x:v>移动救援棋子、借建筑或队友隔子喷水。</x:v>
      </x:c>
      <x:c r="F12" s="53" t="str">
        <x:v>看火势→用有限行动救人灭火→留下建筑与水量影响下轮→救援奖励选择工具。</x:v>
      </x:c>
      <x:c r="G12" s="53" t="str">
        <x:v>火势和威胁预告，奖励工具可选；基础队伍处理普通灾情。</x:v>
      </x:c>
      <x:c r="H12" s="53" t="str">
        <x:v>当前灭火、救人和提前搭炮架争用同一批行动及水量。</x:v>
      </x:c>
      <x:c r="I12" s="53" t="str">
        <x:v>小棋盘、三种棋子、两种灾情；不用真实水火物理，不叠城市经营。</x:v>
      </x:c>
      <x:c r="J12" s="53" t="str">
        <x:v>玩家能提前指出火为何蔓延；同一工具在不同建筑布局下改变优先级，基础队伍能通过普通关。</x:v>
      </x:c>
      <x:c r="K12" s="55" t="str">
        <x:v>后续候选</x:v>
      </x:c>
      <x:c r="L12" s="55" t="str">
        <x:v>尚未实测</x:v>
      </x:c>
      <x:c r="M12" s="55" t="str">
        <x:v>旧案修订</x:v>
      </x:c>
      <x:c r="N12" s="65" t="str">
        <x:v>010</x:v>
      </x:c>
      <x:c r="O12" s="55" t="str">
        <x:v>保留深化</x:v>
      </x:c>
      <x:c r="P12" s="53" t="str">
        <x:v>棋子走法与隔楼喷水有直接因果，火势预告可以形成紧急问题；玩家用同一动作完成移动、搭炮架和救援。</x:v>
      </x:c>
      <x:c r="Q12" s="53" t="str">
        <x:v>只用车、马、炮三类救援方式；每轮公布火势变化，升级改变行动方法而非单纯喷水量。</x:v>
      </x:c>
    </x:row>
    <x:row r="13" ht="45" customHeight="1">
      <x:c r="A13" s="60" t="n">
        <x:v>21</x:v>
      </x:c>
      <x:c r="B13" s="58" t="str">
        <x:v>一杆清场台球</x:v>
      </x:c>
      <x:c r="C13" s="52" t="str">
        <x:v>瞄准、反弹、进袋</x:v>
      </x:c>
      <x:c r="D13" s="52" t="str">
        <x:v>每轮限制杆数，进袋即移除该球的场上能力并给收入；碰撞只传递一个易识别状态，显示短段路径预览。</x:v>
      </x:c>
      <x:c r="E13" s="52" t="str">
        <x:v>瞄准击球，选择先取钱还是利用场上球继续连锁。</x:v>
      </x:c>
      <x:c r="F13" s="52" t="str">
        <x:v>随机球与库边模块→用有限预算配置→三杆内完成目标→买球或存钱→更换障碍布局。</x:v>
      </x:c>
      <x:c r="G13" s="52" t="str">
        <x:v>球种、库边模块与目标局面可变；显示短段路径，失误后可用下一杆调整。</x:v>
      </x:c>
      <x:c r="H13" s="52" t="str">
        <x:v>进袋立即赚钱却移除场上能力；保留球作支点会占球路和杆数。</x:v>
      </x:c>
      <x:c r="I13" s="52" t="str">
        <x:v>二维圆球、三种球、两类袋；不做真实旋转球、三维花式台球和多层递归分裂。</x:v>
      </x:c>
      <x:c r="J13" s="52" t="str">
        <x:v>玩家会因场上布局保留本可进袋的球；同配置重放因果一致，一次失误仍留下下一杆可调整局面。</x:v>
      </x:c>
      <x:c r="K13" s="54" t="str">
        <x:v>后续候选</x:v>
      </x:c>
      <x:c r="L13" s="54" t="str">
        <x:v>尚未实测</x:v>
      </x:c>
      <x:c r="M13" s="54" t="str">
        <x:v>旧案修订</x:v>
      </x:c>
      <x:c r="N13" s="64" t="str">
        <x:v>021</x:v>
      </x:c>
      <x:c r="O13" s="54" t="str">
        <x:v>保留深化</x:v>
      </x:c>
      <x:c r="P13" s="52" t="str">
        <x:v>一次击球能直接验证多项局内选择；球保留在场上做能力支点，还是进袋换钱，天然形成非加法的经济取舍。</x:v>
      </x:c>
      <x:c r="Q13" s="52" t="str">
        <x:v>每轮限制杆数，进袋即移除该球的场上能力并给收入；碰撞只传递一个易识别状态，显示短段路径预览。</x:v>
      </x:c>
    </x:row>
    <x:row r="14" ht="45" customHeight="1">
      <x:c r="A14" s="61" t="n">
        <x:v>24</x:v>
      </x:c>
      <x:c r="B14" s="59" t="str">
        <x:v>打砖块建筑师</x:v>
      </x:c>
      <x:c r="C14" s="53" t="str">
        <x:v>挡板接球、反弹、打碎砖块</x:v>
      </x:c>
      <x:c r="D14" s="53" t="str">
        <x:v>砖块只能装挡板、铺场地或卖钱三选一；场地砖有耐久，球经有限碰撞需回到挡板补能。</x:v>
      </x:c>
      <x:c r="E14" s="53" t="str">
        <x:v>接球，在波次间选择砖块去向与摆位。</x:v>
      </x:c>
      <x:c r="F14" s="53" t="str">
        <x:v>打砖取材→强化接球稳定性或布局连击区→下一波验证→修补或购买新模块。</x:v>
      </x:c>
      <x:c r="G14" s="53" t="str">
        <x:v>砖块供给和波次布局可变，反弹规则稳定；基础挡板仍可通过操作推进。</x:v>
      </x:c>
      <x:c r="H14" s="53" t="str">
        <x:v>同一块砖用于挡板、场地或出售，场地耐久和补能需要限制永动回弹。</x:v>
      </x:c>
      <x:c r="I14" s="53" t="str">
        <x:v>二维单屏、两类砖效果、有限场地槽；不加角色移动、敌人技能与无限回旋。</x:v>
      </x:c>
      <x:c r="J14" s="53" t="str">
        <x:v>不同构筑改变玩家接球位置与发射方向；砖更少的开局仍能靠操作推进，录像能看出关键反弹来源。</x:v>
      </x:c>
      <x:c r="K14" s="55" t="str">
        <x:v>后续候选</x:v>
      </x:c>
      <x:c r="L14" s="55" t="str">
        <x:v>尚未实测</x:v>
      </x:c>
      <x:c r="M14" s="55" t="str">
        <x:v>旧案修订</x:v>
      </x:c>
      <x:c r="N14" s="65" t="str">
        <x:v>024</x:v>
      </x:c>
      <x:c r="O14" s="55" t="str">
        <x:v>保留深化</x:v>
      </x:c>
      <x:c r="P14" s="53" t="str">
        <x:v>接球动作已有即时反馈，砖块重新用于挡板或场地会直接改变下一次球路，而不只是增加伤害。</x:v>
      </x:c>
      <x:c r="Q14" s="53" t="str">
        <x:v>砖块只能装挡板、铺场地或卖钱三选一；场地砖有耐久，球经有限碰撞需回到挡板补能。</x:v>
      </x:c>
    </x:row>
    <x:row r="15" ht="45" customHeight="1">
      <x:c r="A15" s="60" t="n">
        <x:v>27</x:v>
      </x:c>
      <x:c r="B15" s="58" t="str">
        <x:v>贪吃蛇孵化场</x:v>
      </x:c>
      <x:c r="C15" s="52" t="str">
        <x:v>吃东西变长、避免撞到自己</x:v>
      </x:c>
      <x:c r="D15" s="52" t="str">
        <x:v>分身限制两条并按简单预告路径活动；断尾损失对应身体能力，回收需花行动，避免蛇群越多恒优。</x:v>
      </x:c>
      <x:c r="E15" s="52" t="str">
        <x:v>转向吃料，在可见切点选择断尾或保持长度。</x:v>
      </x:c>
      <x:c r="F15" s="52" t="str">
        <x:v>采集身体模块→躲避空间约束→拆分任务或保留主蛇→回收资源买模块→新地形调整次序。</x:v>
      </x:c>
      <x:c r="G15" s="52" t="str">
        <x:v>身体模块候选与地形变化；分身路线预告，允许回收和保持短体。</x:v>
      </x:c>
      <x:c r="H15" s="52" t="str">
        <x:v>断尾减少主蛇长度与能力；分身数、回收行动和地图空间共同约束扩张。</x:v>
      </x:c>
      <x:c r="I15" s="52" t="str">
        <x:v>离散网格、三类身体节、两类小蛇行为；不做六蛇自主寻路与敌群战斗。</x:v>
      </x:c>
      <x:c r="J15" s="52" t="str">
        <x:v>玩家会有意识保持短蛇或回收分身；不能把分身自主撞击变成主蛇不可控惩罚，普通采集也能维持循环。</x:v>
      </x:c>
      <x:c r="K15" s="54" t="str">
        <x:v>后续候选</x:v>
      </x:c>
      <x:c r="L15" s="54" t="str">
        <x:v>尚未实测</x:v>
      </x:c>
      <x:c r="M15" s="54" t="str">
        <x:v>旧案修订</x:v>
      </x:c>
      <x:c r="N15" s="64" t="str">
        <x:v>027、102</x:v>
      </x:c>
      <x:c r="O15" s="54" t="str">
        <x:v>保留深化</x:v>
      </x:c>
      <x:c r="P15" s="52" t="str">
        <x:v>身体长度既是成长也是空间负担，切尾会同时改变主蛇与资源采集方式，代价与收益可直接看到。</x:v>
      </x:c>
      <x:c r="Q15" s="52" t="str">
        <x:v>分身限制两条并按简单预告路径活动；断尾损失对应身体能力，回收需花行动，避免蛇群越多恒优。</x:v>
      </x:c>
    </x:row>
    <x:row r="16" ht="45" customHeight="1">
      <x:c r="A16" s="61" t="n">
        <x:v>31</x:v>
      </x:c>
      <x:c r="B16" s="59" t="str">
        <x:v>火锅连锁局</x:v>
      </x:c>
      <x:c r="C16" s="53" t="str">
        <x:v>下料、涮熟、捞起蘸料</x:v>
      </x:c>
      <x:c r="D16" s="53" t="str">
        <x:v>采用回合熟度而非真实等待；捞起会带走或留下明确风味，食材存在同时保留、切分和提前上菜的互斥用途。</x:v>
      </x:c>
      <x:c r="E16" s="53" t="str">
        <x:v>下一份食材、换一格或捞一份，每次行动推动整锅熟度。</x:v>
      </x:c>
      <x:c r="F16" s="53" t="str">
        <x:v>看本轮订单→安排下锅与捞取→结算风味连锁→选食材或锅具→下轮订单改变最佳做法。</x:v>
      </x:c>
      <x:c r="G16" s="53" t="str">
        <x:v>食材供给变化，客人偏好、熟度变化与风味规则可见；可提前捞取转卖。</x:v>
      </x:c>
      <x:c r="H16" s="53" t="str">
        <x:v>多煮提升风味却占锅位并影响其他食材；整份、切分、提前上菜用途互斥。</x:v>
      </x:c>
      <x:c r="I16" s="53" t="str">
        <x:v>单锅少量格、六种食材、两种风味、三档熟度；不模拟化学，不叠餐厅行走经营。</x:v>
      </x:c>
      <x:c r="J16" s="53" t="str">
        <x:v>玩家能预报下一行动对相邻菜的影响；普通食材能成组合，同一食材会因订单不同选择整份、切分或提前捞走。</x:v>
      </x:c>
      <x:c r="K16" s="55" t="str">
        <x:v>后续候选</x:v>
      </x:c>
      <x:c r="L16" s="55" t="str">
        <x:v>尚未实测</x:v>
      </x:c>
      <x:c r="M16" s="55" t="str">
        <x:v>旧案修订</x:v>
      </x:c>
      <x:c r="N16" s="65" t="str">
        <x:v>031、033、035、036</x:v>
      </x:c>
      <x:c r="O16" s="55" t="str">
        <x:v>保留深化</x:v>
      </x:c>
      <x:c r="P16" s="53" t="str">
        <x:v>位置、熟度和捞取时点都能由火锅画面直接表达；同一锅内的取舍可以同时验证组合和资源消耗。</x:v>
      </x:c>
      <x:c r="Q16" s="53" t="str">
        <x:v>采用回合熟度而非真实等待；捞起会带走或留下明确风味，食材存在同时保留、切分和提前上菜的互斥用途。</x:v>
      </x:c>
    </x:row>
    <x:row r="17" ht="45" customHeight="1">
      <x:c r="A17" s="60" t="n">
        <x:v>50</x:v>
      </x:c>
      <x:c r="B17" s="58" t="str">
        <x:v>一平方米夜市</x:v>
      </x:c>
      <x:c r="C17" s="52" t="str">
        <x:v>摆摊、抢位置、招呼客人</x:v>
      </x:c>
      <x:c r="D17" s="52" t="str">
        <x:v>客流分批预告，营业中仅给一次搬摊机会；摊位同时产生需求与副作用，共享设施占位，利润用于补货或扩建。</x:v>
      </x:c>
      <x:c r="E17" s="52" t="str">
        <x:v>摆摊和设施，营业时决定是否搬一次位置。</x:v>
      </x:c>
      <x:c r="F17" s="52" t="str">
        <x:v>看下一批客人→有限采购与排布→短营业验证→分配利润→客流变化迫使重排。</x:v>
      </x:c>
      <x:c r="G17" s="52" t="str">
        <x:v>分批客流预告、摊位供给可选；一次营业搬位，能少进货或留现金。</x:v>
      </x:c>
      <x:c r="H17" s="52" t="str">
        <x:v>补货与扩摊争资金，共享设施占位；高收入配置可能增加拥堵与副作用。</x:v>
      </x:c>
      <x:c r="I17" s="52" t="str">
        <x:v>一屏固定摊位区、四类摊位、两类顾客、一类共享设施；无完整城市、人物关系和自由行走AI。</x:v>
      </x:c>
      <x:c r="J17" s="52" t="str">
        <x:v>同样摊位在不同客流下有不同布局；最佳收入与排队稳定性存在取舍，少一件稀有设施仍有可操作方案。</x:v>
      </x:c>
      <x:c r="K17" s="54" t="str">
        <x:v>后续候选</x:v>
      </x:c>
      <x:c r="L17" s="54" t="str">
        <x:v>尚未实测</x:v>
      </x:c>
      <x:c r="M17" s="54" t="str">
        <x:v>旧案修订</x:v>
      </x:c>
      <x:c r="N17" s="64" t="str">
        <x:v>050、041、043、070</x:v>
      </x:c>
      <x:c r="O17" s="54" t="str">
        <x:v>保留深化</x:v>
      </x:c>
      <x:c r="P17" s="52" t="str">
        <x:v>小面积摊位与共同设施能让邻接产生互补，也能带来烟、排队和空间冲突；一个经营结算即可观察结果。</x:v>
      </x:c>
      <x:c r="Q17" s="52" t="str">
        <x:v>客流分批预告，营业中仅给一次搬摊机会；摊位同时产生需求与副作用，共享设施占位，利润用于补货或扩建。</x:v>
      </x:c>
    </x:row>
    <x:row r="18" ht="57.75" customHeight="1">
      <x:c r="A18" s="61" t="n">
        <x:v>53</x:v>
      </x:c>
      <x:c r="B18" s="59" t="str">
        <x:v>箱子合不上</x:v>
      </x:c>
      <x:c r="C18" s="53" t="str">
        <x:v>塞行李、卷衣服、压箱盖</x:v>
      </x:c>
      <x:c r="D18" s="53" t="str">
        <x:v>离散压力按列传递，软物变薄、弹簧开夹层、硬物挡压；必需品与额外纪念品争空间，超装可舍弃而不直接整局失败。</x:v>
      </x:c>
      <x:c r="E18" s="53" t="str">
        <x:v>摆一件物品或换夹层，然后按一次关箱。</x:v>
      </x:c>
      <x:c r="F18" s="53" t="str">
        <x:v>下一站给有限物品选择→重排或舍弃→关箱验证→带走成果换升级→新物品改变装法。</x:v>
      </x:c>
      <x:c r="G18" s="53" t="str">
        <x:v>新行李和必需品需求变化，压力规则公开；额外物品可舍弃。</x:v>
      </x:c>
      <x:c r="H18" s="53" t="str">
        <x:v>必需品、纪念品、保护层和夹层争空间；关箱操作有次数或资源代价。</x:v>
      </x:c>
      <x:c r="I18" s="53" t="str">
        <x:v>二维格子、三类受压材料与一种易碎标记，固定箱高；不做真实软体挤压。</x:v>
      </x:c>
      <x:c r="J18" s="53" t="str">
        <x:v>玩家第一次关箱前能预报一段压力链；不同必需品促使改变布局，反复开关不能无成本刷收益。</x:v>
      </x:c>
      <x:c r="K18" s="55" t="str">
        <x:v>后续候选</x:v>
      </x:c>
      <x:c r="L18" s="55" t="str">
        <x:v>尚未实测</x:v>
      </x:c>
      <x:c r="M18" s="55" t="str">
        <x:v>旧案修订</x:v>
      </x:c>
      <x:c r="N18" s="65" t="str">
        <x:v>053</x:v>
      </x:c>
      <x:c r="O18" s="55" t="str">
        <x:v>保留深化</x:v>
      </x:c>
      <x:c r="P18" s="53" t="str">
        <x:v>关箱统一验证与玩家的收纳经验一致；压缩、夹层和易碎保护可由空间变化表达，容易看见自己的选择如何生效。</x:v>
      </x:c>
      <x:c r="Q18" s="53" t="str">
        <x:v>离散压力按列传递，软物变薄、弹簧开夹层、硬物挡压；必需品与额外纪念品争空间，超装可舍弃而不直接整局失败。</x:v>
      </x:c>
    </x:row>
    <x:row r="19" ht="57.75" customHeight="1">
      <x:c r="A19" s="60" t="n">
        <x:v>63</x:v>
      </x:c>
      <x:c r="B19" s="58" t="str">
        <x:v>桌面窗口地牢</x:v>
      </x:c>
      <x:c r="C19" s="52" t="str">
        <x:v>拖动、缩放、最小化窗口</x:v>
      </x:c>
      <x:c r="D19" s="52" t="str">
        <x:v>固定为格子窗口；移动、缩放、遮盖各消耗面积预算，敌人下一步路径提前显示。禁止重叠瞬杀。</x:v>
      </x:c>
      <x:c r="E19" s="52" t="str">
        <x:v>拖动一扇房间窗口，选择接通道路、腾空间或遮住一条通道。</x:v>
      </x:c>
      <x:c r="F19" s="52" t="str">
        <x:v>观察下一波目标，花有限操作调整窗口，自动推进一拍；收集资源换窗口模块，带着已有房间继续应对新波次。</x:v>
      </x:c>
      <x:c r="G19" s="52" t="str">
        <x:v>下一步敌方路线和目标公开，窗口模块供给可选；允许放弃模块并保留原布局。</x:v>
      </x:c>
      <x:c r="H19" s="52" t="str">
        <x:v>接通路径、腾出面积和遮住通道消耗同一操作预算，禁止重叠瞬杀。</x:v>
      </x:c>
      <x:c r="I19" s="52" t="str">
        <x:v>单屏、三个窗口、两种敌人、六个模块；离散移动，不连接真实桌面。</x:v>
      </x:c>
      <x:c r="J19" s="52" t="str">
        <x:v>同一窗口是否会随局面改变用途，重排是否影响后续路径；若始终缩成窄口最优则先修约束。</x:v>
      </x:c>
      <x:c r="K19" s="54" t="str">
        <x:v>后续候选</x:v>
      </x:c>
      <x:c r="L19" s="54" t="str">
        <x:v>尚未实测</x:v>
      </x:c>
      <x:c r="M19" s="54" t="str">
        <x:v>旧案修订</x:v>
      </x:c>
      <x:c r="N19" s="64" t="str">
        <x:v>063</x:v>
      </x:c>
      <x:c r="O19" s="54" t="str">
        <x:v>重构</x:v>
      </x:c>
      <x:c r="P19" s="52" t="str">
        <x:v>拖窗、缩放和叠层能直接改变空间，有可见入口；但任意窗口拓扑、挤压伤害与敌人寻路叠加会变成难预测的漏洞游戏。</x:v>
      </x:c>
      <x:c r="Q19" s="52" t="str">
        <x:v>固定为格子窗口；移动、缩放、遮盖各消耗面积预算，敌人下一步路径提前显示。禁止重叠瞬杀。</x:v>
      </x:c>
    </x:row>
    <x:row r="20" ht="45" customHeight="1">
      <x:c r="A20" s="61" t="n">
        <x:v>66</x:v>
      </x:c>
      <x:c r="B20" s="59" t="str">
        <x:v>一天跑腿局</x:v>
      </x:c>
      <x:c r="C20" s="53" t="str">
        <x:v>排日程、赶路、集中办事</x:v>
      </x:c>
      <x:c r="D20" s="53" t="str">
        <x:v>改成‘一天跑腿局’：只保留地点、任务材料和时间三项，完成任务留下可携带的产物，突发任务提前一拍预告。</x:v>
      </x:c>
      <x:c r="E20" s="53" t="str">
        <x:v>把任务接到路线中，选择顺路做、延期或留出空档。</x:v>
      </x:c>
      <x:c r="F20" s="53" t="str">
        <x:v>每轮抽到可筛选的任务报价，选承接数量并排序，执行后获得现金和副产物；用有限升级改变携带能力和时间缓冲。</x:v>
      </x:c>
      <x:c r="G20" s="53" t="str">
        <x:v>每轮任务报价可筛选，突发任务提前一拍预告；可拒接或延期并承担明确损失。</x:v>
      </x:c>
      <x:c r="H20" s="53" t="str">
        <x:v>顺路收益、截止期、携带容量和时间空档互相竞争，副产物影响下一次接单。</x:v>
      </x:c>
      <x:c r="I20" s="53" t="str">
        <x:v>三处地点、八类任务、六个日程格、五轮；不模拟真实作息和全部生活活动。</x:v>
      </x:c>
      <x:c r="J20" s="53" t="str">
        <x:v>同一任务能否因副产物、临近期限和路线变成不同价值；若永远按地点归类即可，则未达到构筑深度。</x:v>
      </x:c>
      <x:c r="K20" s="55" t="str">
        <x:v>后续候选</x:v>
      </x:c>
      <x:c r="L20" s="55" t="str">
        <x:v>尚未实测</x:v>
      </x:c>
      <x:c r="M20" s="55" t="str">
        <x:v>旧案修订</x:v>
      </x:c>
      <x:c r="N20" s="65" t="str">
        <x:v>066、067、087、115</x:v>
      </x:c>
      <x:c r="O20" s="55" t="str">
        <x:v>重构</x:v>
      </x:c>
      <x:c r="P20" s="53" t="str">
        <x:v>任务共享准备时间有真实因果，但原案像日历优化工具；省下时间本身的奖励与后续选择不足。</x:v>
      </x:c>
      <x:c r="Q20" s="53" t="str">
        <x:v>改成‘一天跑腿局’：只保留地点、任务材料和时间三项，完成任务留下可携带的产物，突发任务提前一拍预告。</x:v>
      </x:c>
    </x:row>
    <x:row r="21" ht="57.75" customHeight="1">
      <x:c r="A21" s="60" t="n">
        <x:v>71</x:v>
      </x:c>
      <x:c r="B21" s="58" t="str">
        <x:v>电梯重排</x:v>
      </x:c>
      <x:c r="C21" s="52" t="str">
        <x:v>接人、送人、控制载重</x:v>
      </x:c>
      <x:c r="D21" s="52" t="str">
        <x:v>目的地绑定食堂、办公室等用途，楼层交换后目标随设施移动；上行、下行、开门各占时间，换层消耗停业轮次。</x:v>
      </x:c>
      <x:c r="E21" s="52" t="str">
        <x:v>选择接谁、停哪里，以及何时暂停服务交换两层用途。</x:v>
      </x:c>
      <x:c r="F21" s="52" t="str">
        <x:v>预告未来两批乘客，在载重与期限内运输赚维修费；买轿厢模块或换层，改变后续真实路程与转乘需求。</x:v>
      </x:c>
      <x:c r="G21" s="52" t="str">
        <x:v>未来两批乘客需求预告，轿厢模块可选；重排用途后目的地提示同步更新。</x:v>
      </x:c>
      <x:c r="H21" s="52" t="str">
        <x:v>搬层改善未来路程却暂停当前服务；上行、下行和开门均计时，重载与少停靠有冲突。</x:v>
      </x:c>
      <x:c r="I21" s="52" t="str">
        <x:v>六层、一台轿厢、四类乘客、五批需求；不做自由建筑和多梯寻路。</x:v>
      </x:c>
      <x:c r="J21" s="52" t="str">
        <x:v>换层是否牺牲当前收益但改善未来两批；能否稳定区分少停靠、重载和多段行程，且没人误读目标楼层。</x:v>
      </x:c>
      <x:c r="K21" s="54" t="str">
        <x:v>后续候选</x:v>
      </x:c>
      <x:c r="L21" s="54" t="str">
        <x:v>尚未实测</x:v>
      </x:c>
      <x:c r="M21" s="54" t="str">
        <x:v>旧案修订</x:v>
      </x:c>
      <x:c r="N21" s="64" t="str">
        <x:v>071、080</x:v>
      </x:c>
      <x:c r="O21" s="54" t="str">
        <x:v>重构</x:v>
      </x:c>
      <x:c r="P21" s="52" t="str">
        <x:v>‘相邻楼层一次停靠完成需求’不成立，仍需开门和移动；若乘客跟楼号走，搬楼层还会让目标含混或直接消除约束。</x:v>
      </x:c>
      <x:c r="Q21" s="52" t="str">
        <x:v>目的地绑定食堂、办公室等用途，楼层交换后目标随设施移动；上行、下行、开门各占时间，换层消耗停业轮次。</x:v>
      </x:c>
    </x:row>
    <x:row r="22" ht="45" customHeight="1">
      <x:c r="A22" s="61" t="n">
        <x:v>73</x:v>
      </x:c>
      <x:c r="B22" s="59" t="str">
        <x:v>红绿灯连锁</x:v>
      </x:c>
      <x:c r="C22" s="53" t="str">
        <x:v>看信号灯、排车、通过路口</x:v>
      </x:c>
      <x:c r="D22" s="53" t="str">
        <x:v>把构筑放在可解释设施上：公交可批量运人，货车占长车位，储车区缓冲，感应灯把空闲绿灯时间借给邻口。</x:v>
      </x:c>
      <x:c r="E22" s="53" t="str">
        <x:v>选择本拍放行方向，改一个路口的相位或缓冲设施。</x:v>
      </x:c>
      <x:c r="F22" s="53" t="str">
        <x:v>预告下一批车流，用有限相位安排完成运输，按送达与等待获得资源；升级容量或连锁感应，应对变化中的流向。</x:v>
      </x:c>
      <x:c r="G22" s="53" t="str">
        <x:v>下一批流量和车型提前显示，设施候选可选；基础人工相位一直可用。</x:v>
      </x:c>
      <x:c r="H22" s="53" t="str">
        <x:v>本拍吞吐与下一拍拥堵竞争；公交效率、货车占位、缓冲区和感应设施争空间。</x:v>
      </x:c>
      <x:c r="I22" s="53" t="str">
        <x:v>三个路口、三种车辆、两种感应器、固定离散拍；不做城市仿真。</x:v>
      </x:c>
      <x:c r="J22" s="53" t="str">
        <x:v>在三种车流结构下是否出现不同配置；若全程一条绿波即可通关，或后果只能靠调试理解，则停止扩图。</x:v>
      </x:c>
      <x:c r="K22" s="55" t="str">
        <x:v>后续候选</x:v>
      </x:c>
      <x:c r="L22" s="55" t="str">
        <x:v>尚未实测</x:v>
      </x:c>
      <x:c r="M22" s="55" t="str">
        <x:v>旧案修订</x:v>
      </x:c>
      <x:c r="N22" s="65" t="str">
        <x:v>073</x:v>
      </x:c>
      <x:c r="O22" s="55" t="str">
        <x:v>重构</x:v>
      </x:c>
      <x:c r="P22" s="53" t="str">
        <x:v>红绿灯入口明确，但过车给灯充能是附加设定；如果最佳解总是绿波，只有调参没有方向差异。</x:v>
      </x:c>
      <x:c r="Q22" s="53" t="str">
        <x:v>把构筑放在可解释设施上：公交可批量运人，货车占长车位，储车区缓冲，感应灯把空闲绿灯时间借给邻口。</x:v>
      </x:c>
    </x:row>
    <x:row r="23" ht="45" customHeight="1">
      <x:c r="A23" s="60" t="n">
        <x:v>75</x:v>
      </x:c>
      <x:c r="B23" s="58" t="str">
        <x:v>停车位挪移术</x:v>
      </x:c>
      <x:c r="C23" s="52" t="str">
        <x:v>倒车、挪车、找空位</x:v>
      </x:c>
      <x:c r="D23" s="52" t="str">
        <x:v>每波预告离场顺序，车辆可送走变现，也可留下提供电力或牵引；移动泊位须消耗一次停运机会。</x:v>
      </x:c>
      <x:c r="E23" s="52" t="str">
        <x:v>挪一辆车或转一块泊位，决定谁离场、谁留下供能。</x:v>
      </x:c>
      <x:c r="F23" s="52" t="str">
        <x:v>接收可选择的车辆需求，用有限步数完成停车与出场，赚取泊位件；保留车辆的能力会继续占用下一波空间。</x:v>
      </x:c>
      <x:c r="G23" s="52" t="str">
        <x:v>车辆请求和离场次序预告，允许拒单；特殊泊位供给变化。</x:v>
      </x:c>
      <x:c r="H23" s="52" t="str">
        <x:v>能力车留下供电或牵引却占地，送走获得收入；转泊位消耗一次停运机会。</x:v>
      </x:c>
      <x:c r="I23" s="52" t="str">
        <x:v>五乘五格、四种车、两种特殊泊位、四波；固定格移动，无车辆操控。</x:v>
      </x:c>
      <x:c r="J23" s="52" t="str">
        <x:v>同一能力车是否会从值得留变成应送走；至少验证两种布局能完成同一普通波次，而非只存在一道标准解。</x:v>
      </x:c>
      <x:c r="K23" s="54" t="str">
        <x:v>后续候选</x:v>
      </x:c>
      <x:c r="L23" s="54" t="str">
        <x:v>尚未实测</x:v>
      </x:c>
      <x:c r="M23" s="54" t="str">
        <x:v>旧案修订</x:v>
      </x:c>
      <x:c r="N23" s="64" t="str">
        <x:v>075</x:v>
      </x:c>
      <x:c r="O23" s="54" t="str">
        <x:v>保留深化</x:v>
      </x:c>
      <x:c r="P23" s="52" t="str">
        <x:v>倒车和出口占位直观，停车后车辆成为设施能制造前后状态变化；需防止变成只有唯一解的挪车题。</x:v>
      </x:c>
      <x:c r="Q23" s="52" t="str">
        <x:v>每波预告离场顺序，车辆可送走变现，也可留下提供电力或牵引；移动泊位须消耗一次停运机会。</x:v>
      </x:c>
    </x:row>
    <x:row r="24" ht="45" customHeight="1">
      <x:c r="A24" s="61" t="n">
        <x:v>81</x:v>
      </x:c>
      <x:c r="B24" s="59" t="str">
        <x:v>排队连锁店</x:v>
      </x:c>
      <x:c r="C24" s="53" t="str">
        <x:v>取号、排队、轮到自己</x:v>
      </x:c>
      <x:c r="D24" s="53" t="str">
        <x:v>触发均绑定一次真实服务或首次入队，不凭换位造收益；每轮预告顾客，明确可拒单与收入损失。</x:v>
      </x:c>
      <x:c r="E24" s="53" t="str">
        <x:v>换一位、服务一组或保留资源等待后续需求。</x:v>
      </x:c>
      <x:c r="F24" s="53" t="str">
        <x:v>接收部分可见顾客，有限操作安排队列，消耗服务物料交付；收益购买人员能力或窗口容量，已服务顾客离场。</x:v>
      </x:c>
      <x:c r="G24" s="53" t="str">
        <x:v>下一批顾客部分预告，明确拒单代价；基础服务可以应对普通顾客。</x:v>
      </x:c>
      <x:c r="H24" s="53" t="str">
        <x:v>立即服务、等待高价与成组服务争物料和耐心；换位不能凭空反复刷入队收益。</x:v>
      </x:c>
      <x:c r="I24" s="53" t="str">
        <x:v>六种顾客、一个队列、两个服务槽、五轮；每个效果一句话。</x:v>
      </x:c>
      <x:c r="J24" s="53" t="str">
        <x:v>普通顾客能否被组合成可用打法；快服务、等高价、成组服务是否随局面变化，且玩家看懂每次连锁来源。</x:v>
      </x:c>
      <x:c r="K24" s="55" t="str">
        <x:v>后续候选</x:v>
      </x:c>
      <x:c r="L24" s="55" t="str">
        <x:v>尚未实测</x:v>
      </x:c>
      <x:c r="M24" s="55" t="str">
        <x:v>旧案修订</x:v>
      </x:c>
      <x:c r="N24" s="65" t="str">
        <x:v>081、072</x:v>
      </x:c>
      <x:c r="O24" s="55" t="str">
        <x:v>保留深化</x:v>
      </x:c>
      <x:c r="P24" s="53" t="str">
        <x:v>队列顺序、耐心和离队事件都能直接显示，适合低成本验证；但单纯奖励顾客退场会产生刷入刷出的假循环。</x:v>
      </x:c>
      <x:c r="Q24" s="53" t="str">
        <x:v>触发均绑定一次真实服务或首次入队，不凭换位造收益；每轮预告顾客，明确可拒单与收入损失。</x:v>
      </x:c>
    </x:row>
    <x:row r="25" ht="45" customHeight="1">
      <x:c r="A25" s="60" t="n">
        <x:v>91</x:v>
      </x:c>
      <x:c r="B25" s="58" t="str">
        <x:v>猫咪多米诺</x:v>
      </x:c>
      <x:c r="C25" s="52" t="str">
        <x:v>猫推东西、钻箱子、追光点</x:v>
      </x:c>
      <x:c r="D25" s="52" t="str">
        <x:v>只定义追点、推物、进箱三种稳定行为，显示下一动作；玩具消耗次数，猫不能随时任意指挥。</x:v>
      </x:c>
      <x:c r="E25" s="52" t="str">
        <x:v>摆一个诱饵或移动一件家具，引导猫执行下一步。</x:v>
      </x:c>
      <x:c r="F25" s="52" t="str">
        <x:v>有限诱饵完成取物任务，保留家具布置应对下一轮目标；奖励新的家具功能或玩具，而非仅增加猫数量。</x:v>
      </x:c>
      <x:c r="G25" s="52" t="str">
        <x:v>目标和家具候选变化，猫下一动作可见；行为稳定，允许回收诱饵但耗行动。</x:v>
      </x:c>
      <x:c r="H25" s="52" t="str">
        <x:v>玩具使用次数和摆位有限；一只猫的取物路线可能阻断另一只猫。</x:v>
      </x:c>
      <x:c r="I25" s="52" t="str">
        <x:v>两只猫、三行为、六件家具、三个连续任务；不用自然物理推杯和复杂性格AI。</x:v>
      </x:c>
      <x:c r="J25" s="52" t="str">
        <x:v>不用手写每条连锁，玩家能否组合旧家具解决新任务；若固定摆放即可自动跑完所有关则不扩内容。</x:v>
      </x:c>
      <x:c r="K25" s="54" t="str">
        <x:v>后续候选</x:v>
      </x:c>
      <x:c r="L25" s="54" t="str">
        <x:v>尚未实测</x:v>
      </x:c>
      <x:c r="M25" s="54" t="str">
        <x:v>旧案修订</x:v>
      </x:c>
      <x:c r="N25" s="64" t="str">
        <x:v>091</x:v>
      </x:c>
      <x:c r="O25" s="54" t="str">
        <x:v>重构</x:v>
      </x:c>
      <x:c r="P25" s="52" t="str">
        <x:v>猫的习性有直接表现，但不可预测的卖萌会破坏布置因果；目前跨多件家具的连锁接近预写机关。</x:v>
      </x:c>
      <x:c r="Q25" s="52" t="str">
        <x:v>只定义追点、推物、进箱三种稳定行为，显示下一动作；玩具消耗次数，猫不能随时任意指挥。</x:v>
      </x:c>
    </x:row>
    <x:row r="26" ht="45" customHeight="1">
      <x:c r="A26" s="61" t="n">
        <x:v>92</x:v>
      </x:c>
      <x:c r="B26" s="59" t="str">
        <x:v>蚁群画路师</x:v>
      </x:c>
      <x:c r="C26" s="53" t="str">
        <x:v>蚂蚁排队搬食物</x:v>
      </x:c>
      <x:c r="D26" s="53" t="str">
        <x:v>画线只代表通路，工作由起终点决定；让搭桥蚂蚁暂时退出搬运，切割会改变货物大小与可用路线。</x:v>
      </x:c>
      <x:c r="E26" s="53" t="str">
        <x:v>画或擦一条路线，并分配有限蚂蚁搭桥或搬运。</x:v>
      </x:c>
      <x:c r="F26" s="53" t="str">
        <x:v>预告下一批食物与洪水，运行固定时间收集粮食；用粮食补充蚁种或留作过冬目标，改变下一波运力。</x:v>
      </x:c>
      <x:c r="G26" s="53" t="str">
        <x:v>食物批次与洪水预告，奖励蚁种可选；可擦线改派，食物可直接保留过冬。</x:v>
      </x:c>
      <x:c r="H26" s="53" t="str">
        <x:v>搭桥蚂蚁暂时不能搬运；食物用于扩群或过冬，切割与运力争劳力。</x:v>
      </x:c>
      <x:c r="I26" s="53" t="str">
        <x:v>两个巢口、三种蚁、三类食物、两条可编辑路线；无自由指令和多层寻路。</x:v>
      </x:c>
      <x:c r="J26" s="53" t="str">
        <x:v>同一批蚂蚁在桥梁、切割与搬运间是否需要重新分配；若一直增加蚂蚁就足够，则构筑未成立。</x:v>
      </x:c>
      <x:c r="K26" s="55" t="str">
        <x:v>后续候选</x:v>
      </x:c>
      <x:c r="L26" s="55" t="str">
        <x:v>尚未实测</x:v>
      </x:c>
      <x:c r="M26" s="55" t="str">
        <x:v>旧案修订</x:v>
      </x:c>
      <x:c r="N26" s="65" t="str">
        <x:v>092</x:v>
      </x:c>
      <x:c r="O26" s="55" t="str">
        <x:v>重构</x:v>
      </x:c>
      <x:c r="P26" s="53" t="str">
        <x:v>画线到大量蚂蚁行动的反馈很强；多颜色代表多指令容易变隐形程序，路线最优后也可能没有继续选择。</x:v>
      </x:c>
      <x:c r="Q26" s="53" t="str">
        <x:v>画线只代表通路，工作由起终点决定；让搭桥蚂蚁暂时退出搬运，切割会改变货物大小与可用路线。</x:v>
      </x:c>
    </x:row>
    <x:row r="27" ht="45" customHeight="1">
      <x:c r="A27" s="60" t="n">
        <x:v>95</x:v>
      </x:c>
      <x:c r="B27" s="58" t="str">
        <x:v>珊瑚共生城</x:v>
      </x:c>
      <x:c r="C27" s="52" t="str">
        <x:v>养鱼、布置水族箱、清理水质</x:v>
      </x:c>
      <x:c r="D27" s="52" t="str">
        <x:v>采用幻想化两资源规则；每轮完成出货会移走部分生物，让成熟网络必须在交付与维持产能之间取舍。</x:v>
      </x:c>
      <x:c r="E27" s="52" t="str">
        <x:v>放置或采收一个生物，改变邻接供给。</x:v>
      </x:c>
      <x:c r="F27" s="52" t="str">
        <x:v>从公开订单中选择交付目标，运行几个生长拍，收获换新物种或扩容；被取走的节点会影响下一轮供给。</x:v>
      </x:c>
      <x:c r="G27" s="52" t="str">
        <x:v>订单公开可选，物种候选变化；普通物种能产生基础资源。</x:v>
      </x:c>
      <x:c r="H27" s="52" t="str">
        <x:v>采收关键节点完成订单会削弱下一轮产能，扩容与出货争资源。</x:v>
      </x:c>
      <x:c r="I27" s="52" t="str">
        <x:v>九格缸、六种生物、两种资源、五轮订单；不模拟真实水质与完整生态。</x:v>
      </x:c>
      <x:c r="J27" s="52" t="str">
        <x:v>采收关键节点是否改变后续策略，普通物种能否拼出可用网络；若搭出永动闭环后再无选择则不扩物种。</x:v>
      </x:c>
      <x:c r="K27" s="54" t="str">
        <x:v>后续候选</x:v>
      </x:c>
      <x:c r="L27" s="54" t="str">
        <x:v>尚未实测</x:v>
      </x:c>
      <x:c r="M27" s="54" t="str">
        <x:v>旧案修订</x:v>
      </x:c>
      <x:c r="N27" s="64" t="str">
        <x:v>095、093、096、104</x:v>
      </x:c>
      <x:c r="O27" s="54" t="str">
        <x:v>保留深化</x:v>
      </x:c>
      <x:c r="P27" s="52" t="str">
        <x:v>副产物成为邻居输入能产生非加法协同，状态能统一显示；最大问题是闭环建立后只剩挂机。</x:v>
      </x:c>
      <x:c r="Q27" s="52" t="str">
        <x:v>采用幻想化两资源规则；每轮完成出货会移走部分生物，让成熟网络必须在交付与维持产能之间取舍。</x:v>
      </x:c>
    </x:row>
    <x:row r="28" ht="45" customHeight="1">
      <x:c r="A28" s="61" t="n">
        <x:v>97</x:v>
      </x:c>
      <x:c r="B28" s="59" t="str">
        <x:v>寄居蟹潮汐搬家</x:v>
      </x:c>
      <x:c r="C28" s="53" t="str">
        <x:v>捡壳、换壳、保护身体</x:v>
      </x:c>
      <x:c r="D28" s="53" t="str">
        <x:v>改为‘寄居蟹搬家’：二维潮汐运输。载货、浮力和共生工具争用容量，删常规动作RPG战斗与任意装甲拼装。</x:v>
      </x:c>
      <x:c r="E28" s="53" t="str">
        <x:v>捡壳、装货、卸货，并选择退潮步行或涨潮漂行路线。</x:v>
      </x:c>
      <x:c r="F28" s="53" t="str">
        <x:v>每轮预告潮位和运输需求，送达换壳或工具；保留货物与装备会改变下一轮负载，重货可临时当锚但不能重复售卖。</x:v>
      </x:c>
      <x:c r="G28" s="53" t="str">
        <x:v>潮位和运输目标预告，完整壳与挂件候选可选；允许卸货改道。</x:v>
      </x:c>
      <x:c r="H28" s="53" t="str">
        <x:v>货物、浮力和工具争容量，重货既能送达又可暂作锚；装卸改变步行与漂行路径。</x:v>
      </x:c>
      <x:c r="I28" s="53" t="str">
        <x:v>一张离散潮汐图、三种完整壳、四类货物、三个挂件、五次潮变；无连续浮力和战斗技能树。</x:v>
      </x:c>
      <x:c r="J28" s="53" t="str">
        <x:v>卸重是否确实让壳由沉底步行变为漂行、打开新路径；不同壳是否改变路线与取货量，而非仅加容量。</x:v>
      </x:c>
      <x:c r="K28" s="55" t="str">
        <x:v>后续候选</x:v>
      </x:c>
      <x:c r="L28" s="55" t="str">
        <x:v>尚未实测</x:v>
      </x:c>
      <x:c r="M28" s="55" t="str">
        <x:v>旧案修订</x:v>
      </x:c>
      <x:c r="N28" s="65" t="str">
        <x:v>097、107</x:v>
      </x:c>
      <x:c r="O28" s="55" t="str">
        <x:v>重构</x:v>
      </x:c>
      <x:c r="P28" s="53" t="str">
        <x:v>垃圾壳与战斗的组合不能直接作为差异化，常规动作战斗又会占主要成本；原案重量代价只是熟悉装备换皮。</x:v>
      </x:c>
      <x:c r="Q28" s="53" t="str">
        <x:v>改为‘寄居蟹搬家’：二维潮汐运输。载货、浮力和共生工具争用容量，删常规动作RPG战斗与任意装甲拼装。</x:v>
      </x:c>
    </x:row>
    <x:row r="29" ht="45" customHeight="1">
      <x:c r="A29" s="60" t="n">
        <x:v>101</x:v>
      </x:c>
      <x:c r="B29" s="58" t="str">
        <x:v>年兽这一夜</x:v>
      </x:c>
      <x:c r="C29" s="52" t="str">
        <x:v>放鞭炮、挂灯笼、贴红纸</x:v>
      </x:c>
      <x:c r="D29" s="52" t="str">
        <x:v>红纸改变通路，灯笼显示预告，炮声推动年兽，火沿绳点燃设施；区分推走路线与直接减恐惧值，保留可回收设施。</x:v>
      </x:c>
      <x:c r="E29" s="52" t="str">
        <x:v>布置一个年节装置，再选择点燃时机。</x:v>
      </x:c>
      <x:c r="F29" s="52" t="str">
        <x:v>预告年兽入口和行动，有限年货引导其离开村口；剩余设施保留，奖励购买耗材或持久装置，下一波改变入口。</x:v>
      </x:c>
      <x:c r="G29" s="52" t="str">
        <x:v>年兽入口和行动预告，年货供给可选；完整春联作为少量被动卡后续验证。</x:v>
      </x:c>
      <x:c r="H29" s="52" t="str">
        <x:v>耗材即时驱赶与持久装置布局争预算，炮声可能把年兽推向尚未布置的入口。</x:v>
      </x:c>
      <x:c r="I29" s="52" t="str">
        <x:v>两条街、四类装置、一个年兽模板、五波；不做真实火灾、烟花物理和完整村庄经营。</x:v>
      </x:c>
      <x:c r="J29" s="52" t="str">
        <x:v>一个炮仗是否因红绳和路障位置而改变后续路径；如果总是堆最贵烟花，应先修空间与耗材取舍。</x:v>
      </x:c>
      <x:c r="K29" s="54" t="str">
        <x:v>后续候选</x:v>
      </x:c>
      <x:c r="L29" s="54" t="str">
        <x:v>尚未实测</x:v>
      </x:c>
      <x:c r="M29" s="54" t="str">
        <x:v>旧案修订</x:v>
      </x:c>
      <x:c r="N29" s="64" t="str">
        <x:v>101、108</x:v>
      </x:c>
      <x:c r="O29" s="54" t="str">
        <x:v>保留深化</x:v>
      </x:c>
      <x:c r="P29" s="52" t="str">
        <x:v>鞭炮、红绳和灯笼能共享一套点火、传播与驱赶反馈；原案四类效果若都只换成伤害颜色，便没有协同。</x:v>
      </x:c>
      <x:c r="Q29" s="52" t="str">
        <x:v>红纸改变通路，灯笼显示预告，炮声推动年兽，火沿绳点燃设施；区分推走路线与直接减恐惧值，保留可回收设施。</x:v>
      </x:c>
    </x:row>
    <x:row r="30" ht="57.75" customHeight="1">
      <x:c r="A30" s="61" t="n">
        <x:v>109</x:v>
      </x:c>
      <x:c r="B30" s="59" t="str">
        <x:v>皮影搬运台</x:v>
      </x:c>
      <x:c r="C30" s="53" t="str">
        <x:v>操纵皮影、打灯、看影子</x:v>
      </x:c>
      <x:c r="D30" s="53" t="str">
        <x:v>只做桥、挡板、推杆三种固定皮影片。调灯后纸人和箱子的位置保留；影桥、挡板和推杆按当前灯位重算，旧投影消失。改灯前预览失去支撑或被阻挡的对象。</x:v>
      </x:c>
      <x:c r="E30" s="53" t="str">
        <x:v>摆一张皮影片或调一盏灯，然后推进舞台一拍。</x:v>
      </x:c>
      <x:c r="F30" s="53" t="str">
        <x:v>预告纸人行动，有限灯油布置影桥和推板完成运送；获得新皮影片，利用上一拍保留的位置继续规划。</x:v>
      </x:c>
      <x:c r="G30" s="53" t="str">
        <x:v>纸人下一步和送货目标预告，固定皮影片候选可选；灯距仅三级且投影范围清楚。</x:v>
      </x:c>
      <x:c r="H30" s="53" t="str">
        <x:v>有限灯油、灯位和皮影片占位竞争，当前影桥可能挡住下一拍货物路径。</x:v>
      </x:c>
      <x:c r="I30" s="53" t="str">
        <x:v>单屏舞台、两盏灯、三级灯距、三类皮影片、一个纸人；离散投影，无任意形状识别和完整战斗。</x:v>
      </x:c>
      <x:c r="J30" s="53" t="str">
        <x:v>调灯必须改变下一拍路径、占位或货物位置；若只放大视觉和数值，或每关需独有机关，则不进入下一阶段。</x:v>
      </x:c>
      <x:c r="K30" s="55" t="str">
        <x:v>后续候选</x:v>
      </x:c>
      <x:c r="L30" s="55" t="str">
        <x:v>尚未实测</x:v>
      </x:c>
      <x:c r="M30" s="55" t="str">
        <x:v>旧案修订</x:v>
      </x:c>
      <x:c r="N30" s="65" t="str">
        <x:v>109、089、111</x:v>
      </x:c>
      <x:c r="O30" s="55" t="str">
        <x:v>重构</x:v>
      </x:c>
      <x:c r="P30" s="53" t="str">
        <x:v>投影放大很有演示力，但放大攻击范围本身不是系统深度；任意轮廓、关节和光影变形会增加大量例外。</x:v>
      </x:c>
      <x:c r="Q30" s="53" t="str">
        <x:v>只做桥、挡板、推杆三种固定皮影片。调灯后纸人和箱子的位置保留；影桥、挡板和推杆按当前灯位重算，旧投影消失。改灯前预览失去支撑或被阻挡的对象。</x:v>
      </x:c>
    </x:row>
    <x:row r="31" ht="45" customHeight="1">
      <x:c r="A31" s="60" t="n">
        <x:v>110</x:v>
      </x:c>
      <x:c r="B31" s="58" t="str">
        <x:v>三国借箭局</x:v>
      </x:c>
      <x:c r="C31" s="52" t="str">
        <x:v>草船借箭、借风、排阵</x:v>
      </x:c>
      <x:c r="D31" s="52" t="str">
        <x:v>箭载重降低换道速度，草垫会磨损；可提前放箭减重，也可冒险保留。风向预告，捕获角度与反击线路共用船位。</x:v>
      </x:c>
      <x:c r="E31" s="52" t="str">
        <x:v>转船接箭、换道避险，或释放部分库存反击。</x:v>
      </x:c>
      <x:c r="F31" s="52" t="str">
        <x:v>读一波敌方射线，在保船与收箭之间取舍；过波后修船或买船件，余箭可携带但继续占载重。</x:v>
      </x:c>
      <x:c r="G31" s="52" t="str">
        <x:v>风向和射线预告，船件候选可选；允许分批放箭与提前修船。</x:v>
      </x:c>
      <x:c r="H31" s="52" t="str">
        <x:v>余箭带来输出也增加载重，草垫磨损；提前放箭减重与蓄满集中反击竞争。</x:v>
      </x:c>
      <x:c r="I31" s="52" t="str">
        <x:v>三条水道、一艘船、三种船件、两类射线、五波；不做三国大地图、海战AI和真实水流。</x:v>
      </x:c>
      <x:c r="J31" s="52" t="str">
        <x:v>提前发箭是否在部分局面优于蓄满，换一件船件是否改变接箭角度或路线；若只让弹幕更多则先修核心。</x:v>
      </x:c>
      <x:c r="K31" s="54" t="str">
        <x:v>后续候选</x:v>
      </x:c>
      <x:c r="L31" s="54" t="str">
        <x:v>尚未实测</x:v>
      </x:c>
      <x:c r="M31" s="54" t="str">
        <x:v>旧案修订</x:v>
      </x:c>
      <x:c r="N31" s="64" t="str">
        <x:v>110</x:v>
      </x:c>
      <x:c r="O31" s="54" t="str">
        <x:v>保留深化</x:v>
      </x:c>
      <x:c r="P31" s="52" t="str">
        <x:v>收敌方攻击再反击能把防守、资源获取和输出连起来；原案必须避免始终蓄到满再一次发射。</x:v>
      </x:c>
      <x:c r="Q31" s="52" t="str">
        <x:v>箭载重降低换道速度，草垫会磨损；可提前放箭减重，也可冒险保留。风向预告，捕获角度与反击线路共用船位。</x:v>
      </x:c>
    </x:row>
    <x:row r="32" ht="105" customHeight="1">
      <x:c r="A32" s="61" t="n">
        <x:v>121</x:v>
      </x:c>
      <x:c r="B32" s="59" t="str">
        <x:v>磁铁拾荒者</x:v>
      </x:c>
      <x:c r="C32" s="53" t="str">
        <x:v>把磁铁伸进零件箱，吸起铁件再放下。</x:v>
      </x:c>
      <x:c r="D32" s="53" t="str">
        <x:v>吸上的长零件会延伸下一次可接触位置，沉重零件会消耗承载；货物同时是改造磁铁的构件。</x:v>
      </x:c>
      <x:c r="E32" s="53" t="str">
        <x:v>选一处落点吸取，再决定卖掉、保留为伸长构件或拆下重排。</x:v>
      </x:c>
      <x:c r="F32" s="53" t="str">
        <x:v>公开本轮回收订单→有限电量吸取→货物或工具二选一→用新的可达形状继续拾取→收入买磁头或留现金。</x:v>
      </x:c>
      <x:c r="G32" s="53" t="str">
        <x:v>订单与可吸物布局可变，吸附与承载规则固定；能拆下重排或出售，电量公开。</x:v>
      </x:c>
      <x:c r="H32" s="53" t="str">
        <x:v>货物出售与留作延长构件互斥；长件提高可达范围也可能先吸到重物堵住通路。</x:v>
      </x:c>
      <x:c r="I32" s="53" t="str">
        <x:v>离散网格、四种形状、单次确定吸附，不模拟连续磁场、刚体大堆叠或任意电器拼装。</x:v>
      </x:c>
      <x:c r="J32" s="53" t="str">
        <x:v>玩家能从延长后的形状预测下一吸范围；至少出现一次主动拆下长件的选择，而不是越长越好。</x:v>
      </x:c>
      <x:c r="K32" s="55" t="str">
        <x:v>后续候选</x:v>
      </x:c>
      <x:c r="L32" s="55" t="str">
        <x:v>尚未实测</x:v>
      </x:c>
      <x:c r="M32" s="55" t="str">
        <x:v>新增</x:v>
      </x:c>
      <x:c r="N32" s="65" t="str"/>
      <x:c r="O32" s="55" t="str">
        <x:v>新增待验证</x:v>
      </x:c>
      <x:c r="P32" s="53" t="str">
        <x:v>相较46用缺陷标签解释物件组合，形状直接改变下一次动作结果；相较51不需要另造清洁化学或战斗。</x:v>
      </x:c>
      <x:c r="Q32" s="53" t="str">
        <x:v>长螺丝改变可达集合，使原本够不着的物件能被吸到；增加长度也可能先吸到不想要的重件，阻挡下一件。 离散规则：保留铁件按固定接点锁定朝向，延伸端成为下一次吸取起点；每次只吸朝向上的首个可达铁件，超出承重则不能带起，需拆卸或换落点。
演示设想：先吸一根长螺丝当延长杆，第二吸穿过窄缝带出箱底目标，再拆下延长杆兑现整批订单。</x:v>
      </x:c>
    </x:row>
    <x:row r="33" ht="73.5" customHeight="1">
      <x:c r="A33" s="60" t="n">
        <x:v>122</x:v>
      </x:c>
      <x:c r="B33" s="58" t="str">
        <x:v>胶带卷仓库</x:v>
      </x:c>
      <x:c r="C33" s="52" t="str">
        <x:v>拉一条胶带粘住物件，揭起后一起搬运，撕开再放下。</x:v>
      </x:c>
      <x:c r="D33" s="52" t="str">
        <x:v>胶带把被覆盖物件临时连成一个刚性整体；预制易撕接点允许花行动撕断一段，改变下一次搬运的集合。</x:v>
      </x:c>
      <x:c r="E33" s="52" t="str">
        <x:v>沿网格拉胶带、提起整组、移动或旋转，再按易撕接点撕断指定胶带。</x:v>
      </x:c>
      <x:c r="F33" s="52" t="str">
        <x:v>预告装箱目标→分配有限胶带和行动→成组搬运→在接点处分开交付→新箱形改变下一轮分组。</x:v>
      </x:c>
      <x:c r="G33" s="52" t="str">
        <x:v>下一批箱形与目标预告，物件组合变化；粘接和断开采用固定规则，可消耗新胶带返工。</x:v>
      </x:c>
      <x:c r="H33" s="52" t="str">
        <x:v>多粘能减少搬运次数，却增大整体尺寸；撕断消耗行动且旧胶带不能完整回收，通道宽度与交付期限共同约束。</x:v>
      </x:c>
      <x:c r="I33" s="52" t="str">
        <x:v>格子刚性物件、两种胶带、固定接点和按格断开；无离型纸脱落假设、软体胶带、三维自由搬运或真实胶黏模拟。</x:v>
      </x:c>
      <x:c r="J33" s="52" t="str">
        <x:v>未经手工编排的物件组合也按同一规则移动；玩家会分两次贴而不总是粘最多，且能解释通道和材料代价。</x:v>
      </x:c>
      <x:c r="K33" s="54" t="str">
        <x:v>后续候选</x:v>
      </x:c>
      <x:c r="L33" s="54" t="str">
        <x:v>尚未实测</x:v>
      </x:c>
      <x:c r="M33" s="54" t="str">
        <x:v>新增</x:v>
      </x:c>
      <x:c r="N33" s="64" t="str"/>
      <x:c r="O33" s="54" t="str">
        <x:v>新增待验证</x:v>
      </x:c>
      <x:c r="P33" s="52" t="str">
        <x:v>相较45依赖特制六箱拉索，这里只需一条普适粘接规则产生组合；比任意拆包更容易给出可预期后果。</x:v>
      </x:c>
      <x:c r="Q33" s="52" t="str">
        <x:v>粘接直接改变一次可移动的物品集合及其能否通过窄口；撕断预制接点再拆成小组，多粘与多拆都有材料和行动代价。
演示设想：一次粘起四件零件，在拐角撕断一个接点，留下两件，剩下的小组才可滑入窄箱。</x:v>
      </x:c>
    </x:row>
    <x:row r="34" ht="136.5" customHeight="1">
      <x:c r="A34" s="61" t="n">
        <x:v>123</x:v>
      </x:c>
      <x:c r="B34" s="59" t="str">
        <x:v>煎饼折叠局</x:v>
      </x:c>
      <x:c r="C34" s="53" t="str">
        <x:v>在饼皮上铺料、折叠、压紧、切份。</x:v>
      </x:c>
      <x:c r="D34" s="53" t="str">
        <x:v>每次折叠同时改变多种食材的邻接与层次，酱料只在接触面传递；整卷厚度与分份数量服务不同顾客。</x:v>
      </x:c>
      <x:c r="E34" s="53" t="str">
        <x:v>摆一份料或沿可见折线折一次，最后决定整卖还是切份。</x:v>
      </x:c>
      <x:c r="F34" s="53" t="str">
        <x:v>随机有限食材与公开订单→分配空间和折叠次数→一压结算接触连锁→整卖或切分→现金购买折具或补料。</x:v>
      </x:c>
      <x:c r="G34" s="53" t="str">
        <x:v>有限食材随机供给、订单公开；折痕与新接触面可预览，基础整份售卖可回退。</x:v>
      </x:c>
      <x:c r="H34" s="53" t="str">
        <x:v>折叠增添接触但封住内层加工机会；连味与味道分区、整份与切份互有优势。</x:v>
      </x:c>
      <x:c r="I34" s="53" t="str">
        <x:v>二维小格饼皮、四种食材、横竖对折、三种接触规则；无软体烹饪、任意折纸与餐厅走位。</x:v>
      </x:c>
      <x:c r="J34" s="53" t="str">
        <x:v>玩家能根据折痕预测新接触面；同种食材有保留分区与叠层增味两条合理路线，不能始终折到最小、切到最多。</x:v>
      </x:c>
      <x:c r="K34" s="55" t="str">
        <x:v>后续候选</x:v>
      </x:c>
      <x:c r="L34" s="55" t="str">
        <x:v>尚未实测</x:v>
      </x:c>
      <x:c r="M34" s="55" t="str">
        <x:v>新增</x:v>
      </x:c>
      <x:c r="N34" s="65" t="str"/>
      <x:c r="O34" s="55" t="str">
        <x:v>新增待验证</x:v>
      </x:c>
      <x:c r="P34" s="53" t="str">
        <x:v>可替代33仅调整食材顺序、36只增加触发次数的浅层做法；折叠以一个熟悉动作改变整个结构。</x:v>
      </x:c>
      <x:c r="Q34" s="53" t="str">
        <x:v>折一次会让原本相隔的两个配料接触，同时把另一个配料包到不可再加工的内层；收益与失去修改机会同时发生。 离散规则：折痕决定新的接触边；每次压制仅沿当时接触边传递一次风味，再统一结算，不在同次压制内无限接力；压制次数有限且混味可违背订单。
演示设想：先把酱料铺在不相邻的位置，对折后让它们分别接触目标食材，一压同时入味；另一单要求两种味道保持分开，因此不能照用相同折法。</x:v>
      </x:c>
    </x:row>
    <x:row r="35" ht="89.25" customHeight="1">
      <x:c r="A35" s="60" t="n">
        <x:v>124</x:v>
      </x:c>
      <x:c r="B35" s="58" t="str">
        <x:v>扫雷拆弹采矿</x:v>
      </x:c>
      <x:c r="C35" s="52" t="str">
        <x:v>扫雷数字表示邻格雷数，标记后排除危险。</x:v>
      </x:c>
      <x:c r="D35" s="52" t="str">
        <x:v>已定位的雷可以安全拆成爆破资源；保留矿脉、继续探查和一次炸开大片矿区互相取舍。</x:v>
      </x:c>
      <x:c r="E35" s="52" t="str">
        <x:v>探一格、标一雷，或消耗已拆炸药选择爆破范围。</x:v>
      </x:c>
      <x:c r="F35" s="52" t="str">
        <x:v>每层给公开采矿目标与有限行动，靠数字推断收矿或拆雷；出售矿物换探测、运载或爆破工具，带有限炸药进入下一层。</x:v>
      </x:c>
      <x:c r="G35" s="52" t="str">
        <x:v>首版只用预先验证过、能靠现有线索完成目标的小地图；目标与行动数公开。若试玩卡在线索不足处，按测试失败处理，不以有限探测宣称所有随机图都可无猜。</x:v>
      </x:c>
      <x:c r="H35" s="52" t="str">
        <x:v>拆雷耗行动，爆破会损精矿品质；原矿、炸药和工具争运载空间。</x:v>
      </x:c>
      <x:c r="I35" s="52" t="str">
        <x:v>八乘八格、预验证的少量固定地图、三种工具、两种矿、三层；首版不做任意随机无猜生成、地形坍塌或真实爆破。</x:v>
      </x:c>
      <x:c r="J35" s="52" t="str">
        <x:v>预验证地图仍须能靠信息和工具继续，而非被迫蒙雷；比较直接采矿与先拆雷再爆破路线。若总是全部拆雷最优，或更新后的数字不能理解，则停止扩内容。</x:v>
      </x:c>
      <x:c r="K35" s="54" t="str">
        <x:v>后续候选</x:v>
      </x:c>
      <x:c r="L35" s="54" t="str">
        <x:v>尚未实测</x:v>
      </x:c>
      <x:c r="M35" s="54" t="str">
        <x:v>新增</x:v>
      </x:c>
      <x:c r="N35" s="64" t="str"/>
      <x:c r="O35" s="54" t="str">
        <x:v>新增待验证</x:v>
      </x:c>
      <x:c r="P35" s="52" t="str">
        <x:v>横向探测缩小未知区，再用定向爆破把已知雷转成通道；同一颗雷既可能是风险，也可能成为绕开高成本矿层的资源。</x:v>
      </x:c>
      <x:c r="Q35" s="52" t="str">
        <x:v>数字显示相邻仍未拆除的雷；标旗仅作记录，不产炸药。拆卸消耗行动，只有真实雷才进入库存；拆雷或爆破后公开数字同步更新。爆破毁掉的雷不再返还炸药，奖励只能领取一次。
演示设想：逐格显示推断线索、爆破路径与矿车收获；分享同一种子下的路线和剩余行动。</x:v>
      </x:c>
    </x:row>
    <x:row r="36" ht="105" customHeight="1">
      <x:c r="A36" s="61" t="n">
        <x:v>125</x:v>
      </x:c>
      <x:c r="B36" s="59" t="str">
        <x:v>弹匣回收线</x:v>
      </x:c>
      <x:c r="C36" s="53" t="str">
        <x:v>装子弹、射击、退弹壳、换弹匣。</x:v>
      </x:c>
      <x:c r="D36" s="53" t="str">
        <x:v>射击既消耗装填，也产出不同弹壳；弹壳进入有限回收槽，决定下一轮能制造什么，不能无损复制弹药。</x:v>
      </x:c>
      <x:c r="E36" s="53" t="str">
        <x:v>选择弹匣内顺序和退壳去向，再瞄准一条预告射线开火。</x:v>
      </x:c>
      <x:c r="F36" s="53" t="str">
        <x:v>用有限弹药完成固定靶场波次，收集弹壳并选择加工或出售；资源用于新弹种、回收槽或当前补弹。</x:v>
      </x:c>
      <x:c r="G36" s="53" t="str">
        <x:v>下一波护罩和射线预告，弹种候选可选；基础弹可完成普通目标，回收产出遵守材料损耗。</x:v>
      </x:c>
      <x:c r="H36" s="53" t="str">
        <x:v>输出、补弹和材料出售争资源，高火力弹多占装填格，回收槽容量有限。</x:v>
      </x:c>
      <x:c r="I36" s="53" t="str">
        <x:v>二维三射线、六发弹匣、四弹种、三槽、三波；用固定弹道，不做完整FPS。</x:v>
      </x:c>
      <x:c r="J36" s="53" t="str">
        <x:v>顺序是否因护罩与回收目标变化，普通弹是否仍可组成有效方案；若始终全装最高伤害弹就停止扩枪。</x:v>
      </x:c>
      <x:c r="K36" s="55" t="str">
        <x:v>后续候选</x:v>
      </x:c>
      <x:c r="L36" s="55" t="str">
        <x:v>尚未实测</x:v>
      </x:c>
      <x:c r="M36" s="55" t="str">
        <x:v>新增</x:v>
      </x:c>
      <x:c r="N36" s="65" t="str"/>
      <x:c r="O36" s="55" t="str">
        <x:v>新增待验证</x:v>
      </x:c>
      <x:c r="P36" s="53" t="str">
        <x:v>穿甲弹先打开护罩，让后续回收弹取回落在后排的资源；回收槽留下的材质决定下一轮可用的弹药顺序。</x:v>
      </x:c>
      <x:c r="Q36" s="53" t="str">
        <x:v>穿甲弹先打开护罩，让后续回收弹取回落在后排的资源；回收槽留下的材质决定下一轮可用的弹药顺序。 守恒规则：回收只返还有限空壳材料，不返消耗的弹芯与能量；每个目标只产一次资源，制造新弹仍需要新的消耗品。
演示设想：装填顺序、命中与退壳逐项对齐，用一段射击回放展示布置如何运作。</x:v>
      </x:c>
    </x:row>
    <x:row r="37" ht="105" customHeight="1">
      <x:c r="A37" s="60" t="n">
        <x:v>126</x:v>
      </x:c>
      <x:c r="B37" s="58" t="str">
        <x:v>收割机自己铺路</x:v>
      </x:c>
      <x:c r="C37" s="52" t="str">
        <x:v>开收割机扫过麦田、装粮、卸货、加油。</x:v>
      </x:c>
      <x:c r="D37" s="52" t="str">
        <x:v>收割留下的秸秆可做燃料或临时铺路，原本挡路的作物收掉后成为新的行动网络。</x:v>
      </x:c>
      <x:c r="E37" s="52" t="str">
        <x:v>选择一条收割路线，决定粮箱里留多少粮、燃料与铺路材料。</x:v>
      </x:c>
      <x:c r="F37" s="52" t="str">
        <x:v>每轮在固定总行动数内完成订单；收割改变地形并产出副产物，回仓交货后选滚轮、切割头或箱体模块。燃料决定能否继续行驶，但补油不能延长订单截止。</x:v>
      </x:c>
      <x:c r="G37" s="52" t="str">
        <x:v>订单与泥地分布预告，工具供给可变；可部分交货与回仓补给，不能依赖稀有割头才有路。 补给和部分交货均消耗固定总行动预算。</x:v>
      </x:c>
      <x:c r="H37" s="52" t="str">
        <x:v>粮食卖钱、副产物续航与铺路争运载空间；宽割幅提高收获却增加转弯与容量压力。</x:v>
      </x:c>
      <x:c r="I37" s="52" t="str">
        <x:v>一张十乘十田地、三类地块、三种模块、三轮订单；离散移动，不模拟农业机械物理。</x:v>
      </x:c>
      <x:c r="J37" s="52" t="str">
        <x:v>同一张地图能否因订单和工具不同走出不同路线；若总是从外圈逐行全清，则需要重做目标与容量，而非扩作物。</x:v>
      </x:c>
      <x:c r="K37" s="54" t="str">
        <x:v>后续候选</x:v>
      </x:c>
      <x:c r="L37" s="54" t="str">
        <x:v>尚未实测</x:v>
      </x:c>
      <x:c r="M37" s="54" t="str">
        <x:v>新增</x:v>
      </x:c>
      <x:c r="N37" s="64" t="str"/>
      <x:c r="O37" s="54" t="str">
        <x:v>新增待验证</x:v>
      </x:c>
      <x:c r="P37" s="52" t="str">
        <x:v>宽切头一次收出大量秸秆，压板把部分秸秆铺过泥地，开启去高价作物的新路；更大割幅不必然更好，因为转弯与存储更紧。</x:v>
      </x:c>
      <x:c r="Q37" s="52" t="str">
        <x:v>宽切头一次收出大量秸秆，压板把部分秸秆铺过泥地，开启去高价作物的新路；更大割幅不必然更好，因为转弯与存储更紧。 每轮固定总行动数；收割、回仓装卸和转化燃料都计入行动，加油只能增加续航，不能延长订单期限。
演示设想：路线上作物倒下、粮箱变满、秸秆铺路连续可见；用路线轨迹和最终载货展示选择结果。</x:v>
      </x:c>
    </x:row>
    <x:row r="38" ht="47.25" customHeight="1">
      <x:c r="A38"/>
      <x:c r="B38"/>
      <x:c r="C38"/>
      <x:c r="D38"/>
      <x:c r="E38"/>
      <x:c r="F38"/>
      <x:c r="G38"/>
      <x:c r="H38"/>
      <x:c r="I38"/>
      <x:c r="J38"/>
      <x:c r="K38"/>
    </x:row>
    <x:row r="39" ht="47.25" customHeight="1">
      <x:c r="A39"/>
      <x:c r="B39"/>
      <x:c r="C39"/>
      <x:c r="D39"/>
      <x:c r="E39"/>
      <x:c r="F39"/>
      <x:c r="G39"/>
      <x:c r="H39"/>
      <x:c r="I39"/>
      <x:c r="J39"/>
      <x:c r="K39"/>
    </x:row>
    <x:row r="40" ht="47.25" customHeight="1">
      <x:c r="A40"/>
      <x:c r="B40"/>
      <x:c r="C40"/>
      <x:c r="D40"/>
      <x:c r="E40"/>
      <x:c r="F40"/>
      <x:c r="G40"/>
      <x:c r="H40"/>
      <x:c r="I40"/>
      <x:c r="J40"/>
      <x:c r="K40"/>
    </x:row>
    <x:row r="41" ht="47.25" customHeight="1">
      <x:c r="A41"/>
      <x:c r="B41"/>
      <x:c r="C41"/>
      <x:c r="D41"/>
      <x:c r="E41"/>
      <x:c r="F41"/>
      <x:c r="G41"/>
      <x:c r="H41"/>
      <x:c r="I41"/>
      <x:c r="J41"/>
      <x:c r="K41"/>
    </x:row>
    <x:row r="42" ht="47.25" customHeight="1">
      <x:c r="A42"/>
      <x:c r="B42"/>
      <x:c r="C42"/>
      <x:c r="D42"/>
      <x:c r="E42"/>
      <x:c r="F42"/>
      <x:c r="G42"/>
      <x:c r="H42"/>
      <x:c r="I42"/>
      <x:c r="J42"/>
      <x:c r="K42"/>
    </x:row>
    <x:row r="43" ht="47.25" customHeight="1">
      <x:c r="A43"/>
      <x:c r="B43"/>
      <x:c r="C43"/>
      <x:c r="D43"/>
      <x:c r="E43"/>
      <x:c r="F43"/>
      <x:c r="G43"/>
      <x:c r="H43"/>
      <x:c r="I43"/>
      <x:c r="J43"/>
      <x:c r="K43"/>
    </x:row>
    <x:row r="44" ht="47.25" customHeight="1">
      <x:c r="A44"/>
      <x:c r="B44"/>
      <x:c r="C44"/>
      <x:c r="D44"/>
      <x:c r="E44"/>
      <x:c r="F44"/>
      <x:c r="G44"/>
      <x:c r="H44"/>
      <x:c r="I44"/>
      <x:c r="J44"/>
      <x:c r="K44"/>
    </x:row>
    <x:row r="45" ht="47.25" customHeight="1">
      <x:c r="A45"/>
      <x:c r="B45"/>
      <x:c r="C45"/>
      <x:c r="D45"/>
      <x:c r="E45"/>
      <x:c r="F45"/>
      <x:c r="G45"/>
      <x:c r="H45"/>
      <x:c r="I45"/>
      <x:c r="J45"/>
      <x:c r="K45"/>
    </x:row>
    <x:row r="46" ht="47.25" customHeight="1">
      <x:c r="A46"/>
      <x:c r="B46"/>
      <x:c r="C46"/>
      <x:c r="D46"/>
      <x:c r="E46"/>
      <x:c r="F46"/>
      <x:c r="G46"/>
      <x:c r="H46"/>
      <x:c r="I46"/>
      <x:c r="J46"/>
      <x:c r="K46"/>
    </x:row>
    <x:row r="47" ht="47.25" customHeight="1">
      <x:c r="A47"/>
      <x:c r="B47"/>
      <x:c r="C47"/>
      <x:c r="D47"/>
      <x:c r="E47"/>
      <x:c r="F47"/>
      <x:c r="G47"/>
      <x:c r="H47"/>
      <x:c r="I47"/>
      <x:c r="J47"/>
      <x:c r="K47"/>
    </x:row>
    <x:row r="48" ht="47.25" customHeight="1">
      <x:c r="A48"/>
      <x:c r="B48"/>
      <x:c r="C48"/>
      <x:c r="D48"/>
      <x:c r="E48"/>
      <x:c r="F48"/>
      <x:c r="G48"/>
      <x:c r="H48"/>
      <x:c r="I48"/>
      <x:c r="J48"/>
      <x:c r="K48"/>
    </x:row>
    <x:row r="49" ht="47.25" customHeight="1">
      <x:c r="A49"/>
      <x:c r="B49"/>
      <x:c r="C49"/>
      <x:c r="D49"/>
      <x:c r="E49"/>
      <x:c r="F49"/>
      <x:c r="G49"/>
      <x:c r="H49"/>
      <x:c r="I49"/>
      <x:c r="J49"/>
      <x:c r="K49"/>
    </x:row>
    <x:row r="50" ht="47.25" customHeight="1">
      <x:c r="A50"/>
      <x:c r="B50"/>
      <x:c r="C50"/>
      <x:c r="D50"/>
      <x:c r="E50"/>
      <x:c r="F50"/>
      <x:c r="G50"/>
      <x:c r="H50"/>
      <x:c r="I50"/>
      <x:c r="J50"/>
      <x:c r="K50"/>
    </x:row>
    <x:row r="51" ht="47.25" customHeight="1">
      <x:c r="A51"/>
      <x:c r="B51"/>
      <x:c r="C51"/>
      <x:c r="D51"/>
      <x:c r="E51"/>
      <x:c r="F51"/>
      <x:c r="G51"/>
      <x:c r="H51"/>
      <x:c r="I51"/>
      <x:c r="J51"/>
      <x:c r="K51"/>
    </x:row>
    <x:row r="52" ht="47.25" customHeight="1">
      <x:c r="A52"/>
      <x:c r="B52"/>
      <x:c r="C52"/>
      <x:c r="D52"/>
      <x:c r="E52"/>
      <x:c r="F52"/>
      <x:c r="G52"/>
      <x:c r="H52"/>
      <x:c r="I52"/>
      <x:c r="J52"/>
      <x:c r="K52"/>
    </x:row>
    <x:row r="53" ht="47.25" customHeight="1">
      <x:c r="A53"/>
      <x:c r="B53"/>
      <x:c r="C53"/>
      <x:c r="D53"/>
      <x:c r="E53"/>
      <x:c r="F53"/>
      <x:c r="G53"/>
      <x:c r="H53"/>
      <x:c r="I53"/>
      <x:c r="J53"/>
      <x:c r="K53"/>
    </x:row>
    <x:row r="54" ht="47.25" customHeight="1">
      <x:c r="A54"/>
      <x:c r="B54"/>
      <x:c r="C54"/>
      <x:c r="D54"/>
      <x:c r="E54"/>
      <x:c r="F54"/>
      <x:c r="G54"/>
      <x:c r="H54"/>
      <x:c r="I54"/>
      <x:c r="J54"/>
      <x:c r="K54"/>
    </x:row>
    <x:row r="55" ht="47.25" customHeight="1">
      <x:c r="A55"/>
      <x:c r="B55"/>
      <x:c r="C55"/>
      <x:c r="D55"/>
      <x:c r="E55"/>
      <x:c r="F55"/>
      <x:c r="G55"/>
      <x:c r="H55"/>
      <x:c r="I55"/>
      <x:c r="J55"/>
      <x:c r="K55"/>
    </x:row>
    <x:row r="56" ht="47.25" customHeight="1">
      <x:c r="A56"/>
      <x:c r="B56"/>
      <x:c r="C56"/>
      <x:c r="D56"/>
      <x:c r="E56"/>
      <x:c r="F56"/>
      <x:c r="G56"/>
      <x:c r="H56"/>
      <x:c r="I56"/>
      <x:c r="J56"/>
      <x:c r="K56"/>
    </x:row>
    <x:row r="57" ht="47.25" customHeight="1">
      <x:c r="A57"/>
      <x:c r="B57"/>
      <x:c r="C57"/>
      <x:c r="D57"/>
      <x:c r="E57"/>
      <x:c r="F57"/>
      <x:c r="G57"/>
      <x:c r="H57"/>
      <x:c r="I57"/>
      <x:c r="J57"/>
      <x:c r="K57"/>
    </x:row>
    <x:row r="58" ht="47.25" customHeight="1">
      <x:c r="A58"/>
      <x:c r="B58"/>
      <x:c r="C58"/>
      <x:c r="D58"/>
      <x:c r="E58"/>
      <x:c r="F58"/>
      <x:c r="G58"/>
      <x:c r="H58"/>
      <x:c r="I58"/>
      <x:c r="J58"/>
      <x:c r="K58"/>
    </x:row>
    <x:row r="59" ht="47.25" customHeight="1">
      <x:c r="A59"/>
      <x:c r="B59"/>
      <x:c r="C59"/>
      <x:c r="D59"/>
      <x:c r="E59"/>
      <x:c r="F59"/>
      <x:c r="G59"/>
      <x:c r="H59"/>
      <x:c r="I59"/>
      <x:c r="J59"/>
      <x:c r="K59"/>
    </x:row>
    <x:row r="60" ht="47.25" customHeight="1">
      <x:c r="A60"/>
      <x:c r="B60"/>
      <x:c r="C60"/>
      <x:c r="D60"/>
      <x:c r="E60"/>
      <x:c r="F60"/>
      <x:c r="G60"/>
      <x:c r="H60"/>
      <x:c r="I60"/>
      <x:c r="J60"/>
      <x:c r="K60"/>
    </x:row>
    <x:row r="61" ht="47.25" customHeight="1">
      <x:c r="A61"/>
      <x:c r="B61"/>
      <x:c r="C61"/>
      <x:c r="D61"/>
      <x:c r="E61"/>
      <x:c r="F61"/>
      <x:c r="G61"/>
      <x:c r="H61"/>
      <x:c r="I61"/>
      <x:c r="J61"/>
      <x:c r="K61"/>
    </x:row>
    <x:row r="62" ht="47.25" customHeight="1">
      <x:c r="A62"/>
      <x:c r="B62"/>
      <x:c r="C62"/>
      <x:c r="D62"/>
      <x:c r="E62"/>
      <x:c r="F62"/>
      <x:c r="G62"/>
      <x:c r="H62"/>
      <x:c r="I62"/>
      <x:c r="J62"/>
      <x:c r="K62"/>
    </x:row>
    <x:row r="63" ht="47.25" customHeight="1">
      <x:c r="A63"/>
      <x:c r="B63"/>
      <x:c r="C63"/>
      <x:c r="D63"/>
      <x:c r="E63"/>
      <x:c r="F63"/>
      <x:c r="G63"/>
      <x:c r="H63"/>
      <x:c r="I63"/>
      <x:c r="J63"/>
      <x:c r="K63"/>
    </x:row>
    <x:row r="64" ht="47.25" customHeight="1">
      <x:c r="A64"/>
      <x:c r="B64"/>
      <x:c r="C64"/>
      <x:c r="D64"/>
      <x:c r="E64"/>
      <x:c r="F64"/>
      <x:c r="G64"/>
      <x:c r="H64"/>
      <x:c r="I64"/>
      <x:c r="J64"/>
      <x:c r="K64"/>
    </x:row>
    <x:row r="65" ht="47.25" customHeight="1">
      <x:c r="A65"/>
      <x:c r="B65"/>
      <x:c r="C65"/>
      <x:c r="D65"/>
      <x:c r="E65"/>
      <x:c r="F65"/>
      <x:c r="G65"/>
      <x:c r="H65"/>
      <x:c r="I65"/>
      <x:c r="J65"/>
      <x:c r="K65"/>
    </x:row>
    <x:row r="66" ht="47.25" customHeight="1">
      <x:c r="A66"/>
      <x:c r="B66"/>
      <x:c r="C66"/>
      <x:c r="D66"/>
      <x:c r="E66"/>
      <x:c r="F66"/>
      <x:c r="G66"/>
      <x:c r="H66"/>
      <x:c r="I66"/>
      <x:c r="J66"/>
      <x:c r="K66"/>
    </x:row>
    <x:row r="67" ht="47.25" customHeight="1">
      <x:c r="A67"/>
      <x:c r="B67"/>
      <x:c r="C67"/>
      <x:c r="D67"/>
      <x:c r="E67"/>
      <x:c r="F67"/>
      <x:c r="G67"/>
      <x:c r="H67"/>
      <x:c r="I67"/>
      <x:c r="J67"/>
      <x:c r="K67"/>
    </x:row>
    <x:row r="68" ht="47.25" customHeight="1">
      <x:c r="A68"/>
      <x:c r="B68"/>
      <x:c r="C68"/>
      <x:c r="D68"/>
      <x:c r="E68"/>
      <x:c r="F68"/>
      <x:c r="G68"/>
      <x:c r="H68"/>
      <x:c r="I68"/>
      <x:c r="J68"/>
      <x:c r="K68"/>
    </x:row>
    <x:row r="69" ht="47.25" customHeight="1">
      <x:c r="A69"/>
      <x:c r="B69"/>
      <x:c r="C69"/>
      <x:c r="D69"/>
      <x:c r="E69"/>
      <x:c r="F69"/>
      <x:c r="G69"/>
      <x:c r="H69"/>
      <x:c r="I69"/>
      <x:c r="J69"/>
      <x:c r="K69"/>
    </x:row>
    <x:row r="70" ht="47.25" customHeight="1">
      <x:c r="A70"/>
      <x:c r="B70"/>
      <x:c r="C70"/>
      <x:c r="D70"/>
      <x:c r="E70"/>
      <x:c r="F70"/>
      <x:c r="G70"/>
      <x:c r="H70"/>
      <x:c r="I70"/>
      <x:c r="J70"/>
      <x:c r="K70"/>
    </x:row>
    <x:row r="71" ht="47.25" customHeight="1">
      <x:c r="A71"/>
      <x:c r="B71"/>
      <x:c r="C71"/>
      <x:c r="D71"/>
      <x:c r="E71"/>
      <x:c r="F71"/>
      <x:c r="G71"/>
      <x:c r="H71"/>
      <x:c r="I71"/>
      <x:c r="J71"/>
      <x:c r="K71"/>
    </x:row>
    <x:row r="72" ht="47.25" customHeight="1">
      <x:c r="A72"/>
      <x:c r="B72"/>
      <x:c r="C72"/>
      <x:c r="D72"/>
      <x:c r="E72"/>
      <x:c r="F72"/>
      <x:c r="G72"/>
      <x:c r="H72"/>
      <x:c r="I72"/>
      <x:c r="J72"/>
      <x:c r="K72"/>
    </x:row>
    <x:row r="73" ht="47.25" customHeight="1">
      <x:c r="A73"/>
      <x:c r="B73"/>
      <x:c r="C73"/>
      <x:c r="D73"/>
      <x:c r="E73"/>
      <x:c r="F73"/>
      <x:c r="G73"/>
      <x:c r="H73"/>
      <x:c r="I73"/>
      <x:c r="J73"/>
      <x:c r="K73"/>
    </x:row>
    <x:row r="74" ht="47.25" customHeight="1">
      <x:c r="A74"/>
      <x:c r="B74"/>
      <x:c r="C74"/>
      <x:c r="D74"/>
      <x:c r="E74"/>
      <x:c r="F74"/>
      <x:c r="G74"/>
      <x:c r="H74"/>
      <x:c r="I74"/>
      <x:c r="J74"/>
      <x:c r="K74"/>
    </x:row>
    <x:row r="75" ht="47.25" customHeight="1">
      <x:c r="A75"/>
      <x:c r="B75"/>
      <x:c r="C75"/>
      <x:c r="D75"/>
      <x:c r="E75"/>
      <x:c r="F75"/>
      <x:c r="G75"/>
      <x:c r="H75"/>
      <x:c r="I75"/>
      <x:c r="J75"/>
      <x:c r="K75"/>
    </x:row>
    <x:row r="76" ht="47.25" customHeight="1">
      <x:c r="A76"/>
      <x:c r="B76"/>
      <x:c r="C76"/>
      <x:c r="D76"/>
      <x:c r="E76"/>
      <x:c r="F76"/>
      <x:c r="G76"/>
      <x:c r="H76"/>
      <x:c r="I76"/>
      <x:c r="J76"/>
      <x:c r="K76"/>
    </x:row>
    <x:row r="77" ht="47.25" customHeight="1">
      <x:c r="A77"/>
      <x:c r="B77"/>
      <x:c r="C77"/>
      <x:c r="D77"/>
      <x:c r="E77"/>
      <x:c r="F77"/>
      <x:c r="G77"/>
      <x:c r="H77"/>
      <x:c r="I77"/>
      <x:c r="J77"/>
      <x:c r="K77"/>
    </x:row>
    <x:row r="78" ht="47.25" customHeight="1">
      <x:c r="A78"/>
      <x:c r="B78"/>
      <x:c r="C78"/>
      <x:c r="D78"/>
      <x:c r="E78"/>
      <x:c r="F78"/>
      <x:c r="G78"/>
      <x:c r="H78"/>
      <x:c r="I78"/>
      <x:c r="J78"/>
      <x:c r="K78"/>
    </x:row>
    <x:row r="79" ht="47.25" customHeight="1">
      <x:c r="A79"/>
      <x:c r="B79"/>
      <x:c r="C79"/>
      <x:c r="D79"/>
      <x:c r="E79"/>
      <x:c r="F79"/>
      <x:c r="G79"/>
      <x:c r="H79"/>
      <x:c r="I79"/>
      <x:c r="J79"/>
      <x:c r="K79"/>
    </x:row>
    <x:row r="80" ht="47.25" customHeight="1">
      <x:c r="A80"/>
      <x:c r="B80"/>
      <x:c r="C80"/>
      <x:c r="D80"/>
      <x:c r="E80"/>
      <x:c r="F80"/>
      <x:c r="G80"/>
      <x:c r="H80"/>
      <x:c r="I80"/>
      <x:c r="J80"/>
      <x:c r="K80"/>
    </x:row>
    <x:row r="81" ht="47.25" customHeight="1">
      <x:c r="A81"/>
      <x:c r="B81"/>
      <x:c r="C81"/>
      <x:c r="D81"/>
      <x:c r="E81"/>
      <x:c r="F81"/>
      <x:c r="G81"/>
      <x:c r="H81"/>
      <x:c r="I81"/>
      <x:c r="J81"/>
      <x:c r="K81"/>
    </x:row>
    <x:row r="82" ht="47.25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47.25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47.25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47.25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 ht="47.25" customHeight="1">
      <x:c r="A86"/>
      <x:c r="B86"/>
      <x:c r="C86"/>
      <x:c r="D86"/>
      <x:c r="E86"/>
      <x:c r="F86"/>
      <x:c r="G86"/>
      <x:c r="H86"/>
      <x:c r="I86"/>
      <x:c r="J86"/>
      <x:c r="K86"/>
    </x:row>
    <x:row r="87" ht="47.25" customHeight="1">
      <x:c r="A87"/>
      <x:c r="B87"/>
      <x:c r="C87"/>
      <x:c r="D87"/>
      <x:c r="E87"/>
      <x:c r="F87"/>
      <x:c r="G87"/>
      <x:c r="H87"/>
      <x:c r="I87"/>
      <x:c r="J87"/>
      <x:c r="K87"/>
    </x:row>
    <x:row r="88" ht="47.25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47.25" customHeight="1">
      <x:c r="A89"/>
      <x:c r="B89"/>
      <x:c r="C89"/>
      <x:c r="D89"/>
      <x:c r="E89"/>
      <x:c r="F89"/>
      <x:c r="G89"/>
      <x:c r="H89"/>
      <x:c r="I89"/>
      <x:c r="J89"/>
      <x:c r="K89"/>
    </x:row>
    <x:row r="90" ht="47.25" customHeight="1">
      <x:c r="A90"/>
      <x:c r="B90"/>
      <x:c r="C90"/>
      <x:c r="D90"/>
      <x:c r="E90"/>
      <x:c r="F90"/>
      <x:c r="G90"/>
      <x:c r="H90"/>
      <x:c r="I90"/>
      <x:c r="J90"/>
      <x:c r="K90"/>
    </x:row>
    <x:row r="91" ht="47.25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47.25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47.25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47.25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47.25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47.25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47.25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47.25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47.25" customHeight="1">
      <x:c r="A99"/>
      <x:c r="B99"/>
      <x:c r="C99"/>
      <x:c r="D99"/>
      <x:c r="E99"/>
      <x:c r="F99"/>
      <x:c r="G99"/>
      <x:c r="H99"/>
      <x:c r="I99"/>
      <x:c r="J99"/>
      <x:c r="K99"/>
    </x:row>
    <x:row r="100" ht="47.25" customHeight="1">
      <x:c r="A100"/>
      <x:c r="B100"/>
      <x:c r="C100"/>
      <x:c r="D100"/>
      <x:c r="E100"/>
      <x:c r="F100"/>
      <x:c r="G100"/>
      <x:c r="H100"/>
      <x:c r="I100"/>
      <x:c r="J100"/>
      <x:c r="K100"/>
    </x:row>
    <x:row r="101" ht="47.25" customHeight="1">
      <x:c r="A101"/>
      <x:c r="B101"/>
      <x:c r="C101"/>
      <x:c r="D101"/>
      <x:c r="E101"/>
      <x:c r="F101"/>
      <x:c r="G101"/>
      <x:c r="H101"/>
      <x:c r="I101"/>
      <x:c r="J101"/>
      <x:c r="K101"/>
    </x:row>
    <x:row r="102" ht="47.25" customHeight="1">
      <x:c r="A102"/>
      <x:c r="B102"/>
      <x:c r="C102"/>
      <x:c r="D102"/>
      <x:c r="E102"/>
      <x:c r="F102"/>
      <x:c r="G102"/>
      <x:c r="H102"/>
      <x:c r="I102"/>
      <x:c r="J102"/>
      <x:c r="K102"/>
    </x:row>
    <x:row r="103" ht="47.25" customHeight="1">
      <x:c r="A103"/>
      <x:c r="B103"/>
      <x:c r="C103"/>
      <x:c r="D103"/>
      <x:c r="E103"/>
      <x:c r="F103"/>
      <x:c r="G103"/>
      <x:c r="H103"/>
      <x:c r="I103"/>
      <x:c r="J103"/>
      <x:c r="K103"/>
    </x:row>
    <x:row r="104" ht="47.25" customHeight="1">
      <x:c r="A104"/>
      <x:c r="B104"/>
      <x:c r="C104"/>
      <x:c r="D104"/>
      <x:c r="E104"/>
      <x:c r="F104"/>
      <x:c r="G104"/>
      <x:c r="H104"/>
      <x:c r="I104"/>
      <x:c r="J104"/>
      <x:c r="K104"/>
    </x:row>
    <x:row r="105" ht="47.25" customHeight="1">
      <x:c r="A105"/>
      <x:c r="B105"/>
      <x:c r="C105"/>
      <x:c r="D105"/>
      <x:c r="E105"/>
      <x:c r="F105"/>
      <x:c r="G105"/>
      <x:c r="H105"/>
      <x:c r="I105"/>
      <x:c r="J105"/>
      <x:c r="K105"/>
    </x:row>
    <x:row r="106" ht="47.25" customHeight="1">
      <x:c r="A106"/>
      <x:c r="B106"/>
      <x:c r="C106"/>
      <x:c r="D106"/>
      <x:c r="E106"/>
      <x:c r="F106"/>
      <x:c r="G106"/>
      <x:c r="H106"/>
      <x:c r="I106"/>
      <x:c r="J106"/>
      <x:c r="K106"/>
    </x:row>
    <x:row r="107" ht="47.25" customHeight="1">
      <x:c r="A107"/>
      <x:c r="B107"/>
      <x:c r="C107"/>
      <x:c r="D107"/>
      <x:c r="E107"/>
      <x:c r="F107"/>
      <x:c r="G107"/>
      <x:c r="H107"/>
      <x:c r="I107"/>
      <x:c r="J107"/>
      <x:c r="K107"/>
    </x:row>
    <x:row r="108" ht="47.25" customHeight="1">
      <x:c r="A108"/>
      <x:c r="B108"/>
      <x:c r="C108"/>
      <x:c r="D108"/>
      <x:c r="E108"/>
      <x:c r="F108"/>
      <x:c r="G108"/>
      <x:c r="H108"/>
      <x:c r="I108"/>
      <x:c r="J108"/>
      <x:c r="K108"/>
    </x:row>
    <x:row r="109" ht="47.25" customHeight="1">
      <x:c r="A109"/>
      <x:c r="B109"/>
      <x:c r="C109"/>
      <x:c r="D109"/>
      <x:c r="E109"/>
      <x:c r="F109"/>
      <x:c r="G109"/>
      <x:c r="H109"/>
      <x:c r="I109"/>
      <x:c r="J109"/>
      <x:c r="K109"/>
    </x:row>
    <x:row r="110" ht="47.25" customHeight="1">
      <x:c r="A110"/>
      <x:c r="B110"/>
      <x:c r="C110"/>
      <x:c r="D110"/>
      <x:c r="E110"/>
      <x:c r="F110"/>
      <x:c r="G110"/>
      <x:c r="H110"/>
      <x:c r="I110"/>
      <x:c r="J110"/>
      <x:c r="K110"/>
    </x:row>
    <x:row r="111" ht="47.25" customHeight="1">
      <x:c r="A111"/>
      <x:c r="B111"/>
      <x:c r="C111"/>
      <x:c r="D111"/>
      <x:c r="E111"/>
      <x:c r="F111"/>
      <x:c r="G111"/>
      <x:c r="H111"/>
      <x:c r="I111"/>
      <x:c r="J111"/>
      <x:c r="K111"/>
    </x:row>
    <x:row r="112" ht="47.25" customHeight="1">
      <x:c r="A112"/>
      <x:c r="B112"/>
      <x:c r="C112"/>
      <x:c r="D112"/>
      <x:c r="E112"/>
      <x:c r="F112"/>
      <x:c r="G112"/>
      <x:c r="H112"/>
      <x:c r="I112"/>
      <x:c r="J112"/>
      <x:c r="K112"/>
    </x:row>
    <x:row r="113" ht="47.25" customHeight="1">
      <x:c r="A113"/>
      <x:c r="B113"/>
      <x:c r="C113"/>
      <x:c r="D113"/>
      <x:c r="E113"/>
      <x:c r="F113"/>
      <x:c r="G113"/>
      <x:c r="H113"/>
      <x:c r="I113"/>
      <x:c r="J113"/>
      <x:c r="K113"/>
    </x:row>
    <x:row r="114" ht="47.25" customHeight="1">
      <x:c r="A114"/>
      <x:c r="B114"/>
      <x:c r="C114"/>
      <x:c r="D114"/>
      <x:c r="E114"/>
      <x:c r="F114"/>
      <x:c r="G114"/>
      <x:c r="H114"/>
      <x:c r="I114"/>
      <x:c r="J114"/>
      <x:c r="K114"/>
    </x:row>
    <x:row r="115" ht="47.25" customHeight="1">
      <x:c r="A115"/>
      <x:c r="B115"/>
      <x:c r="C115"/>
      <x:c r="D115"/>
      <x:c r="E115"/>
      <x:c r="F115"/>
      <x:c r="G115"/>
      <x:c r="H115"/>
      <x:c r="I115"/>
      <x:c r="J115"/>
      <x:c r="K115"/>
    </x:row>
    <x:row r="116" ht="47.25" customHeight="1">
      <x:c r="A116"/>
      <x:c r="B116"/>
      <x:c r="C116"/>
      <x:c r="D116"/>
      <x:c r="E116"/>
      <x:c r="F116"/>
      <x:c r="G116"/>
      <x:c r="H116"/>
      <x:c r="I116"/>
      <x:c r="J116"/>
      <x:c r="K116"/>
    </x:row>
    <x:row r="117" ht="47.25" customHeight="1">
      <x:c r="A117"/>
      <x:c r="B117"/>
      <x:c r="C117"/>
      <x:c r="D117"/>
      <x:c r="E117"/>
      <x:c r="F117"/>
      <x:c r="G117"/>
      <x:c r="H117"/>
      <x:c r="I117"/>
      <x:c r="J117"/>
      <x:c r="K117"/>
    </x:row>
    <x:row r="118" ht="47.25" customHeight="1">
      <x:c r="A118"/>
      <x:c r="B118"/>
      <x:c r="C118"/>
      <x:c r="D118"/>
      <x:c r="E118"/>
      <x:c r="F118"/>
      <x:c r="G118"/>
      <x:c r="H118"/>
      <x:c r="I118"/>
      <x:c r="J118"/>
      <x:c r="K118"/>
    </x:row>
    <x:row r="119" ht="47.25" customHeight="1">
      <x:c r="A119"/>
      <x:c r="B119"/>
      <x:c r="C119"/>
      <x:c r="D119"/>
      <x:c r="E119"/>
      <x:c r="F119"/>
      <x:c r="G119"/>
      <x:c r="H119"/>
      <x:c r="I119"/>
      <x:c r="J119"/>
      <x:c r="K119"/>
    </x:row>
    <x:row r="120" ht="47.25" customHeight="1">
      <x:c r="A120"/>
      <x:c r="B120"/>
      <x:c r="C120"/>
      <x:c r="D120"/>
      <x:c r="E120"/>
      <x:c r="F120"/>
      <x:c r="G120"/>
      <x:c r="H120"/>
      <x:c r="I120"/>
      <x:c r="J120"/>
      <x:c r="K120"/>
    </x:row>
    <x:row r="121" ht="47.25" customHeight="1">
      <x:c r="A121"/>
      <x:c r="B121"/>
      <x:c r="C121"/>
      <x:c r="D121"/>
      <x:c r="E121"/>
      <x:c r="F121"/>
      <x:c r="G121"/>
      <x:c r="H121"/>
      <x:c r="I121"/>
      <x:c r="J121"/>
      <x:c r="K121"/>
    </x:row>
    <x:row r="122" ht="47.25" customHeight="1">
      <x:c r="A122"/>
      <x:c r="B122"/>
      <x:c r="C122"/>
      <x:c r="D122"/>
      <x:c r="E122"/>
      <x:c r="F122"/>
      <x:c r="G122"/>
      <x:c r="H122"/>
      <x:c r="I122"/>
      <x:c r="J122"/>
      <x:c r="K122"/>
    </x:row>
    <x:row r="123" ht="47.25" customHeight="1">
      <x:c r="A123"/>
      <x:c r="B123"/>
      <x:c r="C123"/>
      <x:c r="D123"/>
      <x:c r="E123"/>
      <x:c r="F123"/>
      <x:c r="G123"/>
      <x:c r="H123"/>
      <x:c r="I123"/>
      <x:c r="J123"/>
      <x:c r="K123"/>
    </x:row>
    <x:row r="124" ht="47.25" customHeight="1">
      <x:c r="A124"/>
      <x:c r="B124"/>
      <x:c r="C124"/>
      <x:c r="D124"/>
      <x:c r="E124"/>
      <x:c r="F124"/>
      <x:c r="G124"/>
      <x:c r="H124"/>
      <x:c r="I124"/>
      <x:c r="J124"/>
      <x:c r="K124"/>
    </x:row>
    <x:row r="125" ht="47.25" customHeight="1">
      <x:c r="A125"/>
      <x:c r="B125"/>
      <x:c r="C125"/>
      <x:c r="D125"/>
      <x:c r="E125"/>
      <x:c r="F125"/>
      <x:c r="G125"/>
      <x:c r="H125"/>
      <x:c r="I125"/>
      <x:c r="J125"/>
      <x:c r="K125"/>
    </x:row>
    <x:row r="126" ht="47.25" customHeight="1">
      <x:c r="A126"/>
      <x:c r="B126"/>
      <x:c r="C126"/>
      <x:c r="D126"/>
      <x:c r="E126"/>
      <x:c r="F126"/>
      <x:c r="G126"/>
      <x:c r="H126"/>
      <x:c r="I126"/>
      <x:c r="J126"/>
      <x:c r="K126"/>
    </x:row>
  </x:sheetData>
  <x:pageMargins left="0.7" right="0.7" top="0.75" bottom="0.75" header="0.3" footer="0.3"/>
  <x:tableParts count="1">
    <x:tablePart xmlns:r="http://schemas.openxmlformats.org/officeDocument/2006/relationships" r:id="R37e3001b98c94227"/>
  </x:tableParts>
</x:worksheet>
</file>

<file path=xl/worksheets/sheet2.xml><?xml version="1.0" encoding="utf-8"?>
<x:worksheet xmlns:x="http://schemas.openxmlformats.org/spreadsheetml/2006/main">
  <x:sheetPr>
    <x:tabColor rgb="FF274F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25.559999465942383" hidden="0" customWidth="1"/>
    <x:col min="3" max="3" width="22.219999313354492" hidden="0" customWidth="1"/>
    <x:col min="4" max="4" width="100" hidden="0" customWidth="1"/>
    <x:col min="5" max="5" width="37.779998779296875" hidden="0" customWidth="1"/>
    <x:col min="6" max="6" width="40" hidden="0" customWidth="1"/>
    <x:col min="7" max="7" width="40" hidden="0" customWidth="1"/>
    <x:col min="8" max="8" width="36.66999816894531" hidden="0" customWidth="1"/>
  </x:cols>
  <x:sheetData>
    <x:row r="1" ht="7.5" customHeight="1">
      <x:c r="A1" s="38"/>
      <x:c r="B1" s="38"/>
      <x:c r="C1" s="38"/>
      <x:c r="D1" s="38"/>
      <x:c r="E1"/>
      <x:c r="F1"/>
      <x:c r="G1"/>
      <x:c r="H1"/>
    </x:row>
    <x:row r="2" ht="25.5" customHeight="1">
      <x:c r="A2" s="40" t="str">
        <x:v>首批原型验证计划</x:v>
      </x:c>
      <x:c r="B2" s="40"/>
      <x:c r="C2" s="40"/>
      <x:c r="D2" s="40"/>
      <x:c r="E2"/>
      <x:c r="F2"/>
      <x:c r="G2"/>
      <x:c r="H2"/>
    </x:row>
    <x:row r="3" ht="20.25" customHeight="1">
      <x:c r="A3" s="41" t="str">
        <x:v>032 回转寿司工坊、013 套圈改造摊、051 回收保洁队</x:v>
      </x:c>
      <x:c r="B3" s="41"/>
      <x:c r="C3" s="41"/>
      <x:c r="D3" s="41"/>
      <x:c r="E3"/>
      <x:c r="F3"/>
      <x:c r="G3"/>
      <x:c r="H3"/>
    </x:row>
    <x:row r="4" ht="20.25" customHeight="1">
      <x:c r="A4" s="41" t="str">
        <x:v>以下均为尚未实测的假设。试玩验证与停止条件用于后续实验，尚无通过结论。</x:v>
      </x:c>
      <x:c r="B4" s="41"/>
      <x:c r="C4" s="41"/>
      <x:c r="D4" s="41"/>
      <x:c r="E4"/>
      <x:c r="F4"/>
      <x:c r="G4"/>
      <x:c r="H4"/>
    </x:row>
    <x:row r="5" ht="6.75" customHeight="1">
      <x:c r="A5" s="38"/>
      <x:c r="B5" s="38"/>
      <x:c r="C5" s="38"/>
      <x:c r="D5" s="38"/>
      <x:c r="E5"/>
      <x:c r="F5"/>
      <x:c r="G5"/>
      <x:c r="H5"/>
    </x:row>
    <x:row r="6" ht="28.5" customHeight="1">
      <x:c r="A6" s="46" t="str">
        <x:v>ID</x:v>
      </x:c>
      <x:c r="B6" s="47" t="str">
        <x:v>方案</x:v>
      </x:c>
      <x:c r="C6" s="47" t="str">
        <x:v>设计项</x:v>
      </x:c>
      <x:c r="D6" s="48" t="str">
        <x:v>原型设计</x:v>
      </x:c>
      <x:c r="E6"/>
      <x:c r="F6"/>
      <x:c r="G6"/>
      <x:c r="H6"/>
    </x:row>
    <x:row r="7" ht="45" customHeight="1">
      <x:c r="A7" s="66" t="n">
        <x:v>32</x:v>
      </x:c>
      <x:c r="B7" s="67" t="str">
        <x:f>VLOOKUP(A7,'方案库'!$A$7:$B$37,2,FALSE)</x:f>
        <x:v>回转寿司工坊</x:v>
      </x:c>
      <x:c r="C7" s="68" t="str">
        <x:v>最关键假设</x:v>
      </x:c>
      <x:c r="D7" s="68" t="str">
        <x:v>同一批站点面对不同订单时，能产生不同且可解释的经营选择。</x:v>
      </x:c>
      <x:c r="E7"/>
      <x:c r="F7"/>
      <x:c r="G7"/>
      <x:c r="H7"/>
    </x:row>
    <x:row r="8" ht="45" customHeight="1">
      <x:c r="A8" s="61" t="n">
        <x:v>32</x:v>
      </x:c>
      <x:c r="B8" s="59" t="str">
        <x:f>VLOOKUP(A8,'方案库'!$A$7:$B$37,2,FALSE)</x:f>
        <x:v>回转寿司工坊</x:v>
      </x:c>
      <x:c r="C8" s="53" t="str">
        <x:v>体验承诺</x:v>
      </x:c>
      <x:c r="D8" s="53" t="str">
        <x:v>排几处工位，看寿司绕行加工，并决定现在卖还是继续做。</x:v>
      </x:c>
      <x:c r="E8"/>
      <x:c r="F8"/>
      <x:c r="G8"/>
      <x:c r="H8"/>
    </x:row>
    <x:row r="9" ht="45" customHeight="1">
      <x:c r="A9" s="60" t="n">
        <x:v>32</x:v>
      </x:c>
      <x:c r="B9" s="58" t="str">
        <x:f>VLOOKUP(A9,'方案库'!$A$7:$B$37,2,FALSE)</x:f>
        <x:v>回转寿司工坊</x:v>
      </x:c>
      <x:c r="C9" s="52" t="str">
        <x:v>核心动作</x:v>
      </x:c>
      <x:c r="D9" s="52" t="str">
        <x:v>投入食材、有限挪动站点，并在每圈运行前将盘子标记为可交付或保留。</x:v>
      </x:c>
      <x:c r="E9"/>
      <x:c r="F9"/>
      <x:c r="G9"/>
      <x:c r="H9"/>
    </x:row>
    <x:row r="10" ht="45" customHeight="1">
      <x:c r="A10" s="61" t="n">
        <x:v>32</x:v>
      </x:c>
      <x:c r="B10" s="59" t="str">
        <x:f>VLOOKUP(A10,'方案库'!$A$7:$B$37,2,FALSE)</x:f>
        <x:v>回转寿司工坊</x:v>
      </x:c>
      <x:c r="C10" s="53" t="str">
        <x:v>当前目标</x:v>
      </x:c>
      <x:c r="D10" s="53" t="str">
        <x:v>在有限传送步数与盘位内完成可见订单，留下足够资源进入下一轮。</x:v>
      </x:c>
      <x:c r="E10"/>
      <x:c r="F10"/>
      <x:c r="G10"/>
      <x:c r="H10"/>
    </x:row>
    <x:row r="11" ht="45" customHeight="1">
      <x:c r="A11" s="60" t="n">
        <x:v>32</x:v>
      </x:c>
      <x:c r="B11" s="58" t="str">
        <x:f>VLOOKUP(A11,'方案库'!$A$7:$B$37,2,FALSE)</x:f>
        <x:v>回转寿司工坊</x:v>
      </x:c>
      <x:c r="C11" s="52" t="str">
        <x:v>状态变量</x:v>
      </x:c>
      <x:c r="D11" s="52" t="str">
        <x:v>料理状态、盘位占用、订单等待、可用资金。</x:v>
      </x:c>
      <x:c r="E11"/>
      <x:c r="F11"/>
      <x:c r="G11"/>
      <x:c r="H11"/>
    </x:row>
    <x:row r="12" ht="45" customHeight="1">
      <x:c r="A12" s="61" t="n">
        <x:v>32</x:v>
      </x:c>
      <x:c r="B12" s="59" t="str">
        <x:f>VLOOKUP(A12,'方案库'!$A$7:$B$37,2,FALSE)</x:f>
        <x:v>回转寿司工坊</x:v>
      </x:c>
      <x:c r="C12" s="53" t="str">
        <x:v>通用交互规则</x:v>
      </x:c>
      <x:c r="D12" s="53" t="str">
        <x:v>加工站改变料理状态；切分把同一总量分为多份并多占盘位；每圈前标记可交付/保留，顾客只取符合需求的可交付盘；保留盘持续占位并承担离席风险。空盘经清洗消耗资源后恢复可用容量。</x:v>
      </x:c>
      <x:c r="E12"/>
      <x:c r="F12"/>
      <x:c r="G12"/>
      <x:c r="H12"/>
    </x:row>
    <x:row r="13" ht="45" customHeight="1">
      <x:c r="A13" s="60" t="n">
        <x:v>32</x:v>
      </x:c>
      <x:c r="B13" s="58" t="str">
        <x:f>VLOOKUP(A13,'方案库'!$A$7:$B$37,2,FALSE)</x:f>
        <x:v>回转寿司工坊</x:v>
      </x:c>
      <x:c r="C13" s="52" t="str">
        <x:v>完整循环</x:v>
      </x:c>
      <x:c r="D13" s="52" t="str">
        <x:v>读订单，安排有限工位，投入原料并标记盘子，逐站结算加工和交付，收款或让保留盘继续占位，购买/更换组件，再面对新订单。</x:v>
      </x:c>
      <x:c r="E13"/>
      <x:c r="F13"/>
      <x:c r="G13"/>
      <x:c r="H13"/>
    </x:row>
    <x:row r="14" ht="45" customHeight="1">
      <x:c r="A14" s="61" t="n">
        <x:v>32</x:v>
      </x:c>
      <x:c r="B14" s="59" t="str">
        <x:f>VLOOKUP(A14,'方案库'!$A$7:$B$37,2,FALSE)</x:f>
        <x:v>回转寿司工坊</x:v>
      </x:c>
      <x:c r="C14" s="53" t="str">
        <x:v>主要取舍</x:v>
      </x:c>
      <x:c r="D14" s="53" t="str">
        <x:v>整份高价与切份多客回款互有优势；多加工会占用盘位并消耗等待时间；资金用于当轮原料或后续设备。</x:v>
      </x:c>
      <x:c r="E14"/>
      <x:c r="F14"/>
      <x:c r="G14"/>
      <x:c r="H14"/>
    </x:row>
    <x:row r="15" ht="45" customHeight="1">
      <x:c r="A15" s="60" t="n">
        <x:v>32</x:v>
      </x:c>
      <x:c r="B15" s="58" t="str">
        <x:f>VLOOKUP(A15,'方案库'!$A$7:$B$37,2,FALSE)</x:f>
        <x:v>回转寿司工坊</x:v>
      </x:c>
      <x:c r="C15" s="52" t="str">
        <x:v>随机与补救</x:v>
      </x:c>
      <x:c r="D15" s="52" t="str">
        <x:v>随机的是下一轮订单和有限站点候选，当前订单与加工规则可见。保留基础可售料理与弃单/转卖途径，使关键站点缺席时仍可运营。</x:v>
      </x:c>
      <x:c r="E15"/>
      <x:c r="F15"/>
      <x:c r="G15"/>
      <x:c r="H15"/>
    </x:row>
    <x:row r="16" ht="45" customHeight="1">
      <x:c r="A16" s="61" t="n">
        <x:v>32</x:v>
      </x:c>
      <x:c r="B16" s="59" t="str">
        <x:f>VLOOKUP(A16,'方案库'!$A$7:$B$37,2,FALSE)</x:f>
        <x:v>回转寿司工坊</x:v>
      </x:c>
      <x:c r="C16" s="53" t="str">
        <x:v>组合的作用</x:v>
      </x:c>
      <x:c r="D16" s="53" t="str">
        <x:v>切分对多位小食客有利，却会挤占等待高级料理的盘位。同一把刀会随订单和容量变得值得保留或拆掉。</x:v>
      </x:c>
      <x:c r="E16"/>
      <x:c r="F16"/>
      <x:c r="G16"/>
      <x:c r="H16"/>
    </x:row>
    <x:row r="17" ht="45" customHeight="1">
      <x:c r="A17" s="60" t="n">
        <x:v>32</x:v>
      </x:c>
      <x:c r="B17" s="58" t="str">
        <x:f>VLOOKUP(A17,'方案库'!$A$7:$B$37,2,FALSE)</x:f>
        <x:v>回转寿司工坊</x:v>
      </x:c>
      <x:c r="C17" s="52" t="str">
        <x:v>反馈与因果</x:v>
      </x:c>
      <x:c r="D17" s="52" t="str">
        <x:v>按盘子实际经过位置展示加工、占位、交付与回收。可查看上一圈的关键触发，熟悉后可加速。</x:v>
      </x:c>
      <x:c r="E17"/>
      <x:c r="F17"/>
      <x:c r="G17"/>
      <x:c r="H17"/>
    </x:row>
    <x:row r="18" ht="45" customHeight="1">
      <x:c r="A18" s="61" t="n">
        <x:v>32</x:v>
      </x:c>
      <x:c r="B18" s="59" t="str">
        <x:f>VLOOKUP(A18,'方案库'!$A$7:$B$37,2,FALSE)</x:f>
        <x:v>回转寿司工坊</x:v>
      </x:c>
      <x:c r="C18" s="53" t="str">
        <x:v>最小原型范围</x:v>
      </x:c>
      <x:c r="D18" s="53" t="str">
        <x:v>二维单环，6个站位，6种基础料理状态，4种加工站，2类互斥订单。固定运行步数。首轮不做自由多环、员工经营、物理切菜或多品类餐饮。</x:v>
      </x:c>
      <x:c r="E18"/>
      <x:c r="F18"/>
      <x:c r="G18"/>
      <x:c r="H18"/>
    </x:row>
    <x:row r="19" ht="45" customHeight="1">
      <x:c r="A19" s="60" t="n">
        <x:v>32</x:v>
      </x:c>
      <x:c r="B19" s="58" t="str">
        <x:f>VLOOKUP(A19,'方案库'!$A$7:$B$37,2,FALSE)</x:f>
        <x:v>回转寿司工坊</x:v>
      </x:c>
      <x:c r="C19" s="52" t="str">
        <x:v>试玩验证动作</x:v>
      </x:c>
      <x:c r="D19" s="52" t="str">
        <x:v>让玩家用同一套站点应对两种需求，观察是否主动改造和解释取舍；撤去关键站点后观察是否能转为基础出售；删掉切分规则比较决策是否明显减少。</x:v>
      </x:c>
    </x:row>
    <x:row r="20" ht="45" customHeight="1">
      <x:c r="A20" s="61" t="n">
        <x:v>32</x:v>
      </x:c>
      <x:c r="B20" s="59" t="str">
        <x:f>VLOOKUP(A20,'方案库'!$A$7:$B$37,2,FALSE)</x:f>
        <x:v>回转寿司工坊</x:v>
      </x:c>
      <x:c r="C20" s="53" t="str">
        <x:v>停止或重构条件</x:v>
      </x:c>
      <x:c r="D20" s="53" t="str">
        <x:v>改订单后仍总用同一排列；后半段只重复点开始；玩家只看见涨钱而说不出工位的作用。</x:v>
      </x:c>
      <x:c r="E20"/>
      <x:c r="F20"/>
      <x:c r="G20"/>
      <x:c r="H20"/>
    </x:row>
    <x:row r="21" ht="45" customHeight="1">
      <x:c r="A21" s="60" t="n">
        <x:v>32</x:v>
      </x:c>
      <x:c r="B21" s="58" t="str">
        <x:f>VLOOKUP(A21,'方案库'!$A$7:$B$37,2,FALSE)</x:f>
        <x:v>回转寿司工坊</x:v>
      </x:c>
      <x:c r="C21" s="52" t="str">
        <x:v>可复用的产物</x:v>
      </x:c>
      <x:c r="D21" s="52" t="str">
        <x:v>有序结算、容量占用、事件回放与组件配置可在后续同类原型中复用。</x:v>
      </x:c>
      <x:c r="E21"/>
    </x:row>
    <x:row r="22" ht="45" customHeight="1">
      <x:c r="A22" s="69" t="n">
        <x:v>13</x:v>
      </x:c>
      <x:c r="B22" s="70" t="str">
        <x:f>VLOOKUP(A22,'方案库'!$A$7:$B$37,2,FALSE)</x:f>
        <x:v>套圈改造摊</x:v>
      </x:c>
      <x:c r="C22" s="71" t="str">
        <x:v>最关键假设</x:v>
      </x:c>
      <x:c r="D22" s="71" t="str">
        <x:v>奖品的兑现价值与留场功能，会让熟悉的投圈动作产生连续的策略选择。</x:v>
      </x:c>
      <x:c r="E22"/>
    </x:row>
    <x:row r="23" ht="45" customHeight="1">
      <x:c r="A23" s="60" t="n">
        <x:v>13</x:v>
      </x:c>
      <x:c r="B23" s="58" t="str">
        <x:f>VLOOKUP(A23,'方案库'!$A$7:$B$37,2,FALSE)</x:f>
        <x:v>套圈改造摊</x:v>
      </x:c>
      <x:c r="C23" s="52" t="str">
        <x:v>体验承诺</x:v>
      </x:c>
      <x:c r="D23" s="52" t="str">
        <x:v>先套到一件奖品，再用它改变下一圈的落点和可套目标。</x:v>
      </x:c>
      <x:c r="E23"/>
    </x:row>
    <x:row r="24" ht="45" customHeight="1">
      <x:c r="A24" s="61" t="n">
        <x:v>13</x:v>
      </x:c>
      <x:c r="B24" s="59" t="str">
        <x:f>VLOOKUP(A24,'方案库'!$A$7:$B$37,2,FALSE)</x:f>
        <x:v>套圈改造摊</x:v>
      </x:c>
      <x:c r="C24" s="53" t="str">
        <x:v>核心动作</x:v>
      </x:c>
      <x:c r="D24" s="53" t="str">
        <x:v>选择投掷角度与力度，观察落点，决定奖品兑现或留场，再调整有限摆位。</x:v>
      </x:c>
      <x:c r="E24"/>
    </x:row>
    <x:row r="25" ht="45" customHeight="1">
      <x:c r="A25" s="60" t="n">
        <x:v>13</x:v>
      </x:c>
      <x:c r="B25" s="58" t="str">
        <x:f>VLOOKUP(A25,'方案库'!$A$7:$B$37,2,FALSE)</x:f>
        <x:v>套圈改造摊</x:v>
      </x:c>
      <x:c r="C25" s="52" t="str">
        <x:v>当前目标</x:v>
      </x:c>
      <x:c r="D25" s="52" t="str">
        <x:v>在有限圈数内达到当轮回款要求，同时保留下一轮可用的场地能力。</x:v>
      </x:c>
      <x:c r="E25"/>
    </x:row>
    <x:row r="26" ht="45" customHeight="1">
      <x:c r="A26" s="61" t="n">
        <x:v>13</x:v>
      </x:c>
      <x:c r="B26" s="59" t="str">
        <x:f>VLOOKUP(A26,'方案库'!$A$7:$B$37,2,FALSE)</x:f>
        <x:v>套圈改造摊</x:v>
      </x:c>
      <x:c r="C26" s="53" t="str">
        <x:v>状态变量</x:v>
      </x:c>
      <x:c r="D26" s="53" t="str">
        <x:v>剩余圈数、场地机关、奖品价值、可调整次数。</x:v>
      </x:c>
      <x:c r="E26"/>
    </x:row>
    <x:row r="27" ht="45" customHeight="1">
      <x:c r="A27" s="60" t="n">
        <x:v>13</x:v>
      </x:c>
      <x:c r="B27" s="58" t="str">
        <x:f>VLOOKUP(A27,'方案库'!$A$7:$B$37,2,FALSE)</x:f>
        <x:v>套圈改造摊</x:v>
      </x:c>
      <x:c r="C27" s="52" t="str">
        <x:v>通用交互规则</x:v>
      </x:c>
      <x:c r="D27" s="52" t="str">
        <x:v>圈采用稳定轨迹；奖品被套后可兑现并移走，或留场成为风扇、反弹板等明确机关；每件机关占场地位置；使用会消耗能量或耐久。</x:v>
      </x:c>
    </x:row>
    <x:row r="28" ht="45" customHeight="1">
      <x:c r="A28" s="61" t="n">
        <x:v>13</x:v>
      </x:c>
      <x:c r="B28" s="59" t="str">
        <x:f>VLOOKUP(A28,'方案库'!$A$7:$B$37,2,FALSE)</x:f>
        <x:v>套圈改造摊</x:v>
      </x:c>
      <x:c r="C28" s="53" t="str">
        <x:v>完整循环</x:v>
      </x:c>
      <x:c r="D28" s="53" t="str">
        <x:v>读场地，投圈，结算命中，处理奖品，有限改场，购买圈或机关，再挑战新陈列。</x:v>
      </x:c>
    </x:row>
    <x:row r="29" ht="45" customHeight="1">
      <x:c r="A29" s="60" t="n">
        <x:v>13</x:v>
      </x:c>
      <x:c r="B29" s="58" t="str">
        <x:f>VLOOKUP(A29,'方案库'!$A$7:$B$37,2,FALSE)</x:f>
        <x:v>套圈改造摊</x:v>
      </x:c>
      <x:c r="C29" s="52" t="str">
        <x:v>主要取舍</x:v>
      </x:c>
      <x:c r="D29" s="52" t="str">
        <x:v>兑现保证当轮过关但损失后续机关；保留改变下一投但占位并延后收益；大圈容易命中却更贵或更重。</x:v>
      </x:c>
    </x:row>
    <x:row r="30" ht="45" customHeight="1">
      <x:c r="A30" s="61" t="n">
        <x:v>13</x:v>
      </x:c>
      <x:c r="B30" s="59" t="str">
        <x:f>VLOOKUP(A30,'方案库'!$A$7:$B$37,2,FALSE)</x:f>
        <x:v>套圈改造摊</x:v>
      </x:c>
      <x:c r="C30" s="53" t="str">
        <x:v>随机与补救</x:v>
      </x:c>
      <x:c r="D30" s="53" t="str">
        <x:v>随机奖品候选和预告风况，命中采用可练习的几何规则。落点预览只给基础范围，留出操作学习。失手保留场地并快速再投。</x:v>
      </x:c>
    </x:row>
    <x:row r="31" ht="45" customHeight="1">
      <x:c r="A31" s="60" t="n">
        <x:v>13</x:v>
      </x:c>
      <x:c r="B31" s="58" t="str">
        <x:f>VLOOKUP(A31,'方案库'!$A$7:$B$37,2,FALSE)</x:f>
        <x:v>套圈改造摊</x:v>
      </x:c>
      <x:c r="C31" s="52" t="str">
        <x:v>组合的作用</x:v>
      </x:c>
      <x:c r="D31" s="52" t="str">
        <x:v>先保留反弹板，再利用风扇改变入射方向，能用普通圈触及原本难够的奖品。同一机关可能帮助远投，也可能挡住稳定近投。</x:v>
      </x:c>
    </x:row>
    <x:row r="32" ht="45" customHeight="1">
      <x:c r="A32" s="61" t="n">
        <x:v>13</x:v>
      </x:c>
      <x:c r="B32" s="59" t="str">
        <x:f>VLOOKUP(A32,'方案库'!$A$7:$B$37,2,FALSE)</x:f>
        <x:v>套圈改造摊</x:v>
      </x:c>
      <x:c r="C32" s="53" t="str">
        <x:v>反馈与因果</x:v>
      </x:c>
      <x:c r="D32" s="53" t="str">
        <x:v>落点、接触和反弹来源直接显示，兑现与留场造成可见差异。用轨迹回放解释失手，不设置隐藏抓取概率。</x:v>
      </x:c>
    </x:row>
    <x:row r="33" ht="45" customHeight="1">
      <x:c r="A33" s="60" t="n">
        <x:v>13</x:v>
      </x:c>
      <x:c r="B33" s="58" t="str">
        <x:f>VLOOKUP(A33,'方案库'!$A$7:$B$37,2,FALSE)</x:f>
        <x:v>套圈改造摊</x:v>
      </x:c>
      <x:c r="C33" s="52" t="str">
        <x:v>最小原型范围</x:v>
      </x:c>
      <x:c r="D33" s="52" t="str">
        <x:v>二维侧视或固定平面判定，一种基础圈、两种机关、六个奖品位置。先不做真实三维套环、任意软体、圈的无限复制或复杂店铺经营。</x:v>
      </x:c>
    </x:row>
    <x:row r="34" ht="45" customHeight="1">
      <x:c r="A34" s="61" t="n">
        <x:v>13</x:v>
      </x:c>
      <x:c r="B34" s="59" t="str">
        <x:f>VLOOKUP(A34,'方案库'!$A$7:$B$37,2,FALSE)</x:f>
        <x:v>套圈改造摊</x:v>
      </x:c>
      <x:c r="C34" s="53" t="str">
        <x:v>试玩验证动作</x:v>
      </x:c>
      <x:c r="D34" s="53" t="str">
        <x:v>先在无成长条件下测试连续投掷是否愿意重试；再加入两种机关，观察玩家是否愿为下一轮牺牲当前现金，并随回款压力改变选择。</x:v>
      </x:c>
    </x:row>
    <x:row r="35" ht="45" customHeight="1">
      <x:c r="A35" s="60" t="n">
        <x:v>13</x:v>
      </x:c>
      <x:c r="B35" s="58" t="str">
        <x:f>VLOOKUP(A35,'方案库'!$A$7:$B$37,2,FALSE)</x:f>
        <x:v>套圈改造摊</x:v>
      </x:c>
      <x:c r="C35" s="52" t="str">
        <x:v>停止或重构条件</x:v>
      </x:c>
      <x:c r="D35" s="52" t="str">
        <x:v>投掷结果无法练习改善；留场与兑现长期只有一个优选；需要复杂机关动画才能掩盖单次操作无趣。</x:v>
      </x:c>
    </x:row>
    <x:row r="36" ht="45" customHeight="1">
      <x:c r="A36" s="61" t="n">
        <x:v>13</x:v>
      </x:c>
      <x:c r="B36" s="59" t="str">
        <x:f>VLOOKUP(A36,'方案库'!$A$7:$B$37,2,FALSE)</x:f>
        <x:v>套圈改造摊</x:v>
      </x:c>
      <x:c r="C36" s="53" t="str">
        <x:v>可复用的产物</x:v>
      </x:c>
      <x:c r="D36" s="53" t="str">
        <x:v>稳定轨迹、碰撞来源反馈和有限场地修改可以支持其他物理原型。</x:v>
      </x:c>
    </x:row>
    <x:row r="37" ht="45" customHeight="1">
      <x:c r="A37" s="66" t="n">
        <x:v>51</x:v>
      </x:c>
      <x:c r="B37" s="67" t="str">
        <x:f>VLOOKUP(A37,'方案库'!$A$7:$B$37,2,FALSE)</x:f>
        <x:v>回收保洁队</x:v>
      </x:c>
      <x:c r="C37" s="68" t="str">
        <x:v>最关键假设</x:v>
      </x:c>
      <x:c r="D37" s="68" t="str">
        <x:v>清洁动作本身有反馈，同时容量和材料用途会改变吸取与清理顺序。</x:v>
      </x:c>
    </x:row>
    <x:row r="38" ht="45" customHeight="1">
      <x:c r="A38" s="61" t="n">
        <x:v>51</x:v>
      </x:c>
      <x:c r="B38" s="59" t="str">
        <x:f>VLOOKUP(A38,'方案库'!$A$7:$B$37,2,FALSE)</x:f>
        <x:v>回收保洁队</x:v>
      </x:c>
      <x:c r="C38" s="53" t="str">
        <x:v>体验承诺</x:v>
      </x:c>
      <x:c r="D38" s="53" t="str">
        <x:v>吸走杂物获得可用材料，再把材料用在更难清理的位置。</x:v>
      </x:c>
    </x:row>
    <x:row r="39" ht="45" customHeight="1">
      <x:c r="A39" s="60" t="n">
        <x:v>51</x:v>
      </x:c>
      <x:c r="B39" s="58" t="str">
        <x:f>VLOOKUP(A39,'方案库'!$A$7:$B$37,2,FALSE)</x:f>
        <x:v>回收保洁队</x:v>
      </x:c>
      <x:c r="C39" s="52" t="str">
        <x:v>核心动作</x:v>
      </x:c>
      <x:c r="D39" s="52" t="str">
        <x:v>移动刷头，吸取或清洗，选择保留哪种材料，在合适位置喷出或投入回收。</x:v>
      </x:c>
    </x:row>
    <x:row r="40" ht="45" customHeight="1">
      <x:c r="A40" s="61" t="n">
        <x:v>51</x:v>
      </x:c>
      <x:c r="B40" s="59" t="str">
        <x:f>VLOOKUP(A40,'方案库'!$A$7:$B$37,2,FALSE)</x:f>
        <x:v>回收保洁队</x:v>
      </x:c>
      <x:c r="C40" s="53" t="str">
        <x:v>当前目标</x:v>
      </x:c>
      <x:c r="D40" s="53" t="str">
        <x:v>在工具耐久和存储容量内达到房间清洁要求，再用回收收益改造下一间所需工具。</x:v>
      </x:c>
    </x:row>
    <x:row r="41" ht="45" customHeight="1">
      <x:c r="A41" s="60" t="n">
        <x:v>51</x:v>
      </x:c>
      <x:c r="B41" s="58" t="str">
        <x:f>VLOOKUP(A41,'方案库'!$A$7:$B$37,2,FALSE)</x:f>
        <x:v>回收保洁队</x:v>
      </x:c>
      <x:c r="C41" s="52" t="str">
        <x:v>状态变量</x:v>
      </x:c>
      <x:c r="D41" s="52" t="str">
        <x:v>污物类型与位置、桶内材料、清洁进度、工具耐久。</x:v>
      </x:c>
    </x:row>
    <x:row r="42" ht="45" customHeight="1">
      <x:c r="A42" s="61" t="n">
        <x:v>51</x:v>
      </x:c>
      <x:c r="B42" s="59" t="str">
        <x:f>VLOOKUP(A42,'方案库'!$A$7:$B$37,2,FALSE)</x:f>
        <x:v>回收保洁队</x:v>
      </x:c>
      <x:c r="C42" s="53" t="str">
        <x:v>通用交互规则</x:v>
      </x:c>
      <x:c r="D42" s="53" t="str">
        <x:v>干碎屑可吸取并占桶位；滤芯把特定污物转成有限清洁剂；清洁剂提高某种顽渍的去除效率；腾桶与换工具要消耗时间或耐久。</x:v>
      </x:c>
    </x:row>
    <x:row r="43" ht="45" customHeight="1">
      <x:c r="A43" s="60" t="n">
        <x:v>51</x:v>
      </x:c>
      <x:c r="B43" s="58" t="str">
        <x:f>VLOOKUP(A43,'方案库'!$A$7:$B$37,2,FALSE)</x:f>
        <x:v>回收保洁队</x:v>
      </x:c>
      <x:c r="C43" s="52" t="str">
        <x:v>完整循环</x:v>
      </x:c>
      <x:c r="D43" s="52" t="str">
        <x:v>观察房间，选择先处理的区域，吸取并存储，转化或出售材料，利用产物清理难点，交付房间并选择下一件工具。</x:v>
      </x:c>
    </x:row>
    <x:row r="44" ht="45" customHeight="1">
      <x:c r="A44" s="61" t="n">
        <x:v>51</x:v>
      </x:c>
      <x:c r="B44" s="59" t="str">
        <x:f>VLOOKUP(A44,'方案库'!$A$7:$B$37,2,FALSE)</x:f>
        <x:v>回收保洁队</x:v>
      </x:c>
      <x:c r="C44" s="53" t="str">
        <x:v>主要取舍</x:v>
      </x:c>
      <x:c r="D44" s="53" t="str">
        <x:v>先吸大面积碎屑可快速回收，却可能装满桶而挡住关键材料；立即卖掉腾容量，或留下合成工具消耗品；工具扩容与处理效率争用升级位置。</x:v>
      </x:c>
    </x:row>
    <x:row r="45" ht="45" customHeight="1">
      <x:c r="A45" s="60" t="n">
        <x:v>51</x:v>
      </x:c>
      <x:c r="B45" s="58" t="str">
        <x:f>VLOOKUP(A45,'方案库'!$A$7:$B$37,2,FALSE)</x:f>
        <x:v>回收保洁队</x:v>
      </x:c>
      <x:c r="C45" s="52" t="str">
        <x:v>随机与补救</x:v>
      </x:c>
      <x:c r="D45" s="52" t="str">
        <x:v>房间布局、污物构成和工具候选可变，材料转换固定可读。基础工具可完成普通污物，特殊工具改善效率与路线，避免缺关键件直接无解。</x:v>
      </x:c>
    </x:row>
    <x:row r="46" ht="45" customHeight="1">
      <x:c r="A46" s="61" t="n">
        <x:v>51</x:v>
      </x:c>
      <x:c r="B46" s="59" t="str">
        <x:f>VLOOKUP(A46,'方案库'!$A$7:$B$37,2,FALSE)</x:f>
        <x:v>回收保洁队</x:v>
      </x:c>
      <x:c r="C46" s="53" t="str">
        <x:v>组合的作用</x:v>
      </x:c>
      <x:c r="D46" s="53" t="str">
        <x:v>碎屑占满桶后，原本高效的广域吸头可能不再适合；装上转换滤芯可以边吸边消耗存料，为高价值材料留空间，同时获得处理顽渍的清洁剂。</x:v>
      </x:c>
    </x:row>
    <x:row r="47" ht="45" customHeight="1">
      <x:c r="A47" s="60" t="n">
        <x:v>51</x:v>
      </x:c>
      <x:c r="B47" s="58" t="str">
        <x:f>VLOOKUP(A47,'方案库'!$A$7:$B$37,2,FALSE)</x:f>
        <x:v>回收保洁队</x:v>
      </x:c>
      <x:c r="C47" s="52" t="str">
        <x:v>反馈与因果</x:v>
      </x:c>
      <x:c r="D47" s="52" t="str">
        <x:v>局部污渍消失、刷头接触感、吸取声音和桶内变化同步显示。解释材料去向和滤芯效果，最后清洁率只负责汇总。</x:v>
      </x:c>
    </x:row>
    <x:row r="48" ht="45" customHeight="1">
      <x:c r="A48" s="61" t="n">
        <x:v>51</x:v>
      </x:c>
      <x:c r="B48" s="59" t="str">
        <x:f>VLOOKUP(A48,'方案库'!$A$7:$B$37,2,FALSE)</x:f>
        <x:v>回收保洁队</x:v>
      </x:c>
      <x:c r="C48" s="53" t="str">
        <x:v>最小原型范围</x:v>
      </x:c>
      <x:c r="D48" s="53" t="str">
        <x:v>二维或简单俯视单房间，三类污物，两类可回收材料，两种刷头，一个滤芯。先不做敌人、元素战斗、机器人、真实流体和自由燃烧。</x:v>
      </x:c>
    </x:row>
    <x:row r="49" ht="45" customHeight="1">
      <x:c r="A49" s="60" t="n">
        <x:v>51</x:v>
      </x:c>
      <x:c r="B49" s="58" t="str">
        <x:f>VLOOKUP(A49,'方案库'!$A$7:$B$37,2,FALSE)</x:f>
        <x:v>回收保洁队</x:v>
      </x:c>
      <x:c r="C49" s="52" t="str">
        <x:v>试玩验证动作</x:v>
      </x:c>
      <x:c r="D49" s="52" t="str">
        <x:v>先关闭升级，仅换房间和桶容量，观察玩家是否选择不同清洁顺序；再加入一个转换滤芯，观察它是否改变吸取位置与出售时机。</x:v>
      </x:c>
    </x:row>
    <x:row r="50" ht="45" customHeight="1">
      <x:c r="A50" s="61" t="n">
        <x:v>51</x:v>
      </x:c>
      <x:c r="B50" s="59" t="str">
        <x:f>VLOOKUP(A50,'方案库'!$A$7:$B$37,2,FALSE)</x:f>
        <x:v>回收保洁队</x:v>
      </x:c>
      <x:c r="C50" s="53" t="str">
        <x:v>停止或重构条件</x:v>
      </x:c>
      <x:c r="D50" s="53" t="str">
        <x:v>所有房间都只按最近距离扫完；材料从不影响选择；玩家只有看见升级奖励才愿继续操作。</x:v>
      </x:c>
    </x:row>
    <x:row r="51" ht="45" customHeight="1">
      <x:c r="A51" s="60" t="n">
        <x:v>51</x:v>
      </x:c>
      <x:c r="B51" s="58" t="str">
        <x:f>VLOOKUP(A51,'方案库'!$A$7:$B$37,2,FALSE)</x:f>
        <x:v>回收保洁队</x:v>
      </x:c>
      <x:c r="C51" s="52" t="str">
        <x:v>可复用的产物</x:v>
      </x:c>
      <x:c r="D51" s="52" t="str">
        <x:v>工具切换、容量反馈、离散表面状态和短动作回放可继续服务清理与回收类原型。</x:v>
      </x:c>
    </x:row>
  </x:sheetData>
  <x:pageMargins left="0.7" right="0.7" top="0.75" bottom="0.75" header="0.3" footer="0.3"/>
  <x:tableParts count="1">
    <x:tablePart xmlns:r="http://schemas.openxmlformats.org/officeDocument/2006/relationships" r:id="R5d75463a79f34a0d"/>
  </x:tableParts>
</x:worksheet>
</file>

<file path=xl/worksheets/sheet3.xml><?xml version="1.0" encoding="utf-8"?>
<x:worksheet xmlns:x="http://schemas.openxmlformats.org/spreadsheetml/2006/main">
  <x:sheetPr>
    <x:tabColor rgb="FF526B8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329999923706055" hidden="0" customWidth="1"/>
    <x:col min="2" max="2" width="24.440000534057617" hidden="0" customWidth="1"/>
    <x:col min="3" max="3" width="14.4399995803833" hidden="0" customWidth="1"/>
    <x:col min="4" max="4" width="17.780000686645508" hidden="0" customWidth="1"/>
    <x:col min="5" max="5" width="13.329999923706055" hidden="0" customWidth="1"/>
    <x:col min="6" max="6" width="46.66999816894531" hidden="0" customWidth="1"/>
    <x:col min="7" max="7" width="43.33000183105469" hidden="0" customWidth="1"/>
    <x:col min="8" max="8" width="43.33000183105469" hidden="0" customWidth="1"/>
    <x:col min="9" max="9" width="38.88999938964844" hidden="0" customWidth="1"/>
    <x:col min="10" max="10" width="46.66999816894531" hidden="0" customWidth="1"/>
    <x:col min="11" max="11" width="41.11000061035156" hidden="0" customWidth="1"/>
    <x:col min="12" max="12" width="45.560001373291016" hidden="0" customWidth="1"/>
    <x:col min="13" max="13" width="15.5600004196167" hidden="0" customWidth="1"/>
    <x:col min="14" max="14" width="41.11000061035156" hidden="0" customWidth="1"/>
    <x:col min="15" max="15" width="26.670000076293945" hidden="0" customWidth="1"/>
    <x:col min="16" max="16" width="13.329999923706055" hidden="0" customWidth="1"/>
  </x:cols>
  <x:sheetData>
    <x:row r="1" ht="7.5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</x:row>
    <x:row r="2" ht="25.5" customHeight="1">
      <x:c r="A2" s="40" t="str">
        <x:v>120个原方案的调整记录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</x:row>
    <x:row r="3" ht="20.25" customHeight="1">
      <x:c r="A3" s="41" t="str">
        <x:v>保留深化</x:v>
      </x:c>
      <x:c r="B3" s="63" t="n">
        <x:f>COUNTIFS($C$7:$C$126,A3)</x:f>
        <x:v>16</x:v>
      </x:c>
      <x:c r="C3" s="41" t="str">
        <x:v>合并</x:v>
      </x:c>
      <x:c r="D3" s="63" t="n">
        <x:f>COUNTIFS($C$7:$C$126,C3)</x:f>
        <x:v>45</x:v>
      </x:c>
      <x:c r="E3" s="41" t="str">
        <x:v>暂缓</x:v>
      </x:c>
      <x:c r="F3" s="63" t="n">
        <x:f>COUNTIFS($C$7:$C$126,E3)</x:f>
        <x:v>31</x:v>
      </x:c>
      <x:c r="G3" s="41" t="str">
        <x:v>重构</x:v>
      </x:c>
      <x:c r="H3" s="63" t="n">
        <x:f>COUNTIFS($C$7:$C$126,G3)</x:f>
        <x:v>21</x:v>
      </x:c>
      <x:c r="I3" s="41" t="str">
        <x:v>移出</x:v>
      </x:c>
      <x:c r="J3" s="63" t="n">
        <x:f>COUNTIFS($C$7:$C$126,I3)</x:f>
        <x:v>7</x:v>
      </x:c>
      <x:c r="K3" s="41"/>
      <x:c r="L3" s="41"/>
      <x:c r="M3" s="41"/>
      <x:c r="N3" s="41"/>
      <x:c r="O3" s="41"/>
      <x:c r="P3" s="41"/>
    </x:row>
    <x:row r="4" ht="20.25" customHeight="1">
      <x:c r="A4" s="41" t="str">
        <x:v>合并目标可能留在机制储备中，不等于已进入主池。表后保留原始120案与原12个重点方案。</x:v>
      </x:c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</x:row>
    <x:row r="5" ht="6.75" customHeight="1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</x:row>
    <x:row r="6" ht="28.5" customHeight="1">
      <x:c r="A6" s="46" t="str">
        <x:v>原 ID</x:v>
      </x:c>
      <x:c r="B6" s="47" t="str">
        <x:v>原名称</x:v>
      </x:c>
      <x:c r="C6" s="47" t="str">
        <x:v>处理结果</x:v>
      </x:c>
      <x:c r="D6" s="47" t="str">
        <x:v>本轮位置</x:v>
      </x:c>
      <x:c r="E6" s="47" t="str">
        <x:v>最终归属 ID</x:v>
      </x:c>
      <x:c r="F6" s="47" t="str">
        <x:v>最终归属说明</x:v>
      </x:c>
      <x:c r="G6" s="47" t="str">
        <x:v>处理理由</x:v>
      </x:c>
      <x:c r="H6" s="47" t="str">
        <x:v>主要修改</x:v>
      </x:c>
      <x:c r="I6" s="47" t="str">
        <x:v>修订核心动作</x:v>
      </x:c>
      <x:c r="J6" s="47" t="str">
        <x:v>修订系统循环</x:v>
      </x:c>
      <x:c r="K6" s="47" t="str">
        <x:v>修订范围限制</x:v>
      </x:c>
      <x:c r="L6" s="47" t="str">
        <x:v>验证问题</x:v>
      </x:c>
      <x:c r="M6" s="47" t="str">
        <x:v>原优先级</x:v>
      </x:c>
      <x:c r="N6" s="47" t="str">
        <x:v>原机制反转</x:v>
      </x:c>
      <x:c r="O6" s="47" t="str">
        <x:v>修订后名称</x:v>
      </x:c>
      <x:c r="P6" s="48" t="str">
        <x:v>原合并目标 ID</x:v>
      </x:c>
    </x:row>
    <x:row r="7" ht="45" customHeight="1">
      <x:c r="A7" s="60" t="n">
        <x:v>1</x:v>
      </x:c>
      <x:c r="B7" s="58" t="str">
        <x:v>吃子进化棋</x:v>
      </x:c>
      <x:c r="C7" s="54" t="str">
        <x:v>保留深化</x:v>
      </x:c>
      <x:c r="D7" s="54" t="str">
        <x:v>主候选池</x:v>
      </x:c>
      <x:c r="E7" s="64"/>
      <x:c r="F7" s="52" t="str"/>
      <x:c r="G7" s="52" t="str">
        <x:v>移动与吃子本身已经成立，继承走法会改变可达位置；优势来自空间关系而非把攻击数值相加。</x:v>
      </x:c>
      <x:c r="H7" s="52" t="str">
        <x:v>只允许保留两种走法；吃子后可继承、替换或拆成改造费用。敌方下一步威胁提前展示。</x:v>
      </x:c>
      <x:c r="I7" s="52" t="str">
        <x:v>选棋子、预览移动、吃子后决定保留什么。</x:v>
      </x:c>
      <x:c r="J7" s="52" t="str">
        <x:v>看威胁→移动与捕获→交换走法或存钱→下一张局面验证→有限槽位迫使重新选择。</x:v>
      </x:c>
      <x:c r="K7" s="52" t="str">
        <x:v>单屏离散棋盘、三种基本走法、最多三个己方单位；不做完整棋类规则和多层天赋。</x:v>
      </x:c>
      <x:c r="L7" s="52" t="str">
        <x:v>普通走法开局也能过关；玩家会因棋盘局面放弃稀有走法，并能指出某次绕后由哪次替换产生。</x:v>
      </x:c>
      <x:c r="M7" s="52" t="str">
        <x:v>备选</x:v>
      </x:c>
      <x:c r="N7" s="52" t="str">
        <x:v>每次吃子可继承一种走法，但新旧能力争用有限槽位</x:v>
      </x:c>
      <x:c r="O7" s="52" t="str">
        <x:v>吃子进化棋</x:v>
      </x:c>
      <x:c r="P7" s="72"/>
    </x:row>
    <x:row r="8" ht="45" customHeight="1">
      <x:c r="A8" s="61" t="n">
        <x:v>2</x:v>
      </x:c>
      <x:c r="B8" s="59" t="str">
        <x:v>会造兵的五子棋</x:v>
      </x:c>
      <x:c r="C8" s="55" t="str">
        <x:v>合并</x:v>
      </x:c>
      <x:c r="D8" s="55" t="str">
        <x:v>合并</x:v>
      </x:c>
      <x:c r="E8" s="65" t="n">
        <x:v>1</x:v>
      </x:c>
      <x:c r="F8" s="53" t="str">
        <x:v>1 吃子进化棋（主候选）</x:v>
      </x:c>
      <x:c r="G8" s="53" t="str">
        <x:v>造兵只增加了独立战斗验证层；核心有效部分是交叉连线与消耗棋子的机会成本，尚无理由同时开发连线和战斗。</x:v>
      </x:c>
      <x:c r="H8" s="53" t="str">
        <x:v>交叉连线仅作为1的特殊地形或奖励盘：消耗占位换一次召援；不另做兵种养成与观战。</x:v>
      </x:c>
      <x:c r="I8" s="53" t="str">
        <x:v>选择落点，决定保留潜在线路还是立即兑现。</x:v>
      </x:c>
      <x:c r="J8" s="53" t="str">
        <x:v>棋局奖励→连线盘取舍→获得一次性支援→返回主棋盘验证。</x:v>
      </x:c>
      <x:c r="K8" s="53" t="str">
        <x:v>一个可选奖励盘、两种支援；连线效果必须能在原棋盘解释。</x:v>
      </x:c>
      <x:c r="L8" s="53" t="str">
        <x:v>移除军队演出后，落点仍出现立即兑现与留交叉线的不同选择；否则连线模块也删除。</x:v>
      </x:c>
      <x:c r="M8" s="53" t="str">
        <x:v>备选</x:v>
      </x:c>
      <x:c r="N8" s="53" t="str">
        <x:v>五连会消耗棋子并生成军队，留长线或拆成短线收益不同</x:v>
      </x:c>
      <x:c r="O8" s="53" t="str">
        <x:v>会造兵的五子棋</x:v>
      </x:c>
      <x:c r="P8" s="73" t="n">
        <x:v>1</x:v>
      </x:c>
    </x:row>
    <x:row r="9" ht="45" customHeight="1">
      <x:c r="A9" s="60" t="n">
        <x:v>3</x:v>
      </x:c>
      <x:c r="B9" s="58" t="str">
        <x:v>麻将连锁工坊</x:v>
      </x:c>
      <x:c r="C9" s="54" t="str">
        <x:v>暂缓</x:v>
      </x:c>
      <x:c r="D9" s="54" t="str">
        <x:v>暂缓</x:v>
      </x:c>
      <x:c r="E9" s="64"/>
      <x:c r="F9" s="52" t="str"/>
      <x:c r="G9" s="52" t="str">
        <x:v>麻将提供规则基础，但刻子变机器后，胡牌目标与持续生产目标可能相互争夺；现案没有规定何时拆机器追胡牌。</x:v>
      </x:c>
      <x:c r="H9" s="52" t="str">
        <x:v>先确定胜利目标和胡牌是否终止生产；把完整胡牌收益与拆牌喂机器设为互斥，保留弃牌回收的代价。</x:v>
      </x:c>
      <x:c r="I9" s="52" t="str">
        <x:v>摸一张后选择组成手牌、弃掉或投入一台机器。</x:v>
      </x:c>
      <x:c r="J9" s="52" t="str">
        <x:v>有限牌山→在胡牌与产出间分配→回款或保留机器→下轮牌山条件改变。</x:v>
      </x:c>
      <x:c r="K9" s="52" t="str">
        <x:v>只用一种花色与顺、刻两类结构，不先接完整麻将计番、地区规则和数十机器。</x:v>
      </x:c>
      <x:c r="L9" s="52" t="str">
        <x:v>两种不同摸牌局面能让同一张牌得到不同用途；玩家能解释为什么本次不喂最高收益机器，否则不进入原型池。</x:v>
      </x:c>
      <x:c r="M9" s="52" t="str">
        <x:v>备选</x:v>
      </x:c>
      <x:c r="N9" s="52" t="str">
        <x:v>已完成的牌组成为机器，用后续摸到的牌触发产出</x:v>
      </x:c>
      <x:c r="O9" s="52" t="str">
        <x:v>麻将连锁工坊</x:v>
      </x:c>
      <x:c r="P9" s="72"/>
    </x:row>
    <x:row r="10" ht="45" customHeight="1">
      <x:c r="A10" s="61" t="n">
        <x:v>4</x:v>
      </x:c>
      <x:c r="B10" s="59" t="str">
        <x:v>改路大富翁</x:v>
      </x:c>
      <x:c r="C10" s="55" t="str">
        <x:v>保留深化</x:v>
      </x:c>
      <x:c r="D10" s="55" t="str">
        <x:v>主候选池</x:v>
      </x:c>
      <x:c r="E10" s="65"/>
      <x:c r="F10" s="53" t="str"/>
      <x:c r="G10" s="53" t="str">
        <x:v>掷骰走格与改地块直接改变未来命中分布；不需要额外战斗就能统一验证构筑和经济。</x:v>
      </x:c>
      <x:c r="H10" s="53" t="str">
        <x:v>每轮只准改两格；回退消耗路标耐久，分岔提供可选路径；展示近期收益区间和下一圈目标。</x:v>
      </x:c>
      <x:c r="I10" s="53" t="str">
        <x:v>调整少量地块，掷骰，在岔路选择去向。</x:v>
      </x:c>
      <x:c r="J10" s="53" t="str">
        <x:v>随机给地块→花钱改路或保留现金→走圈兑现→检查分数目标→更新奖励和威胁。</x:v>
      </x:c>
      <x:c r="K10" s="53" t="str">
        <x:v>固定短环、少量岔路、六类地块；不做人际交易、地产体系或无限自循环。</x:v>
      </x:c>
      <x:c r="L10" s="53" t="str">
        <x:v>在同一种子下，不同改路形成可解释的收益与稳定性差异；低点骰也有可做决定，重开不是只为刷开局。</x:v>
      </x:c>
      <x:c r="M10" s="53" t="str">
        <x:v>备选</x:v>
      </x:c>
      <x:c r="N10" s="53" t="str">
        <x:v>每轮能调整少量棋盘格，构筑自己接下来会走的路线</x:v>
      </x:c>
      <x:c r="O10" s="53" t="str">
        <x:v>改路大富翁</x:v>
      </x:c>
      <x:c r="P10" s="73"/>
    </x:row>
    <x:row r="11" ht="45" customHeight="1">
      <x:c r="A11" s="60" t="n">
        <x:v>5</x:v>
      </x:c>
      <x:c r="B11" s="58" t="str">
        <x:v>围住就归我</x:v>
      </x:c>
      <x:c r="C11" s="54" t="str">
        <x:v>重构</x:v>
      </x:c>
      <x:c r="D11" s="54" t="str">
        <x:v>机制储备</x:v>
      </x:c>
      <x:c r="E11" s="64"/>
      <x:c r="F11" s="52" t="str"/>
      <x:c r="G11" s="52" t="str">
        <x:v>圈地剪贴是可见反转，但城堡、城墙的功能验证尚未定义；没有面积、周长与剪切成本关系时只会追求最大圈。</x:v>
      </x:c>
      <x:c r="H11" s="52" t="str">
        <x:v>改为单屏围地采集：边界耗棋子、剪切耗行动，资源在区域内的位置影响拼贴后的连接，不进入城战。</x:v>
      </x:c>
      <x:c r="I11" s="52" t="str">
        <x:v>落子围合并决定何时剪下、贴到哪块空地。</x:v>
      </x:c>
      <x:c r="J11" s="52" t="str">
        <x:v>预告地块资源→围取或继续扩大→拼贴接通资源→赚取下一轮棋子与剪切次数。</x:v>
      </x:c>
      <x:c r="K11" s="52" t="str">
        <x:v>固定方格、三类资源、一种邻接结算；暂不开发围棋对弈和多功能建筑。</x:v>
      </x:c>
      <x:c r="L11" s="52" t="str">
        <x:v>同面积的两块地因连接位置而价值不同，且出现小圈优于大圈的局面；否则不能以剪贴动画通过验收。</x:v>
      </x:c>
      <x:c r="M11" s="52" t="str">
        <x:v>备选</x:v>
      </x:c>
      <x:c r="N11" s="52" t="str">
        <x:v>围住的区域可以整块剪下，再贴进自己的地图</x:v>
      </x:c>
      <x:c r="O11" s="52" t="str">
        <x:v>围住就归我</x:v>
      </x:c>
      <x:c r="P11" s="72"/>
    </x:row>
    <x:row r="12" ht="45" customHeight="1">
      <x:c r="A12" s="61" t="n">
        <x:v>6</x:v>
      </x:c>
      <x:c r="B12" s="59" t="str">
        <x:v>会施法的接龙</x:v>
      </x:c>
      <x:c r="C12" s="55" t="str">
        <x:v>暂缓</x:v>
      </x:c>
      <x:c r="D12" s="55" t="str">
        <x:v>暂缓</x:v>
      </x:c>
      <x:c r="E12" s="65"/>
      <x:c r="F12" s="53" t="str"/>
      <x:c r="G12" s="53" t="str">
        <x:v>接龙合法移动与效果执行是两套规则；为触发技能而搬牌可能让整理目标失去意义，长指令列也容易成为程序题。</x:v>
      </x:c>
      <x:c r="H12" s="53" t="str">
        <x:v>先保留完成牌列这一目标；每张特殊牌只修改一次合法移动或整理收益，禁止嵌套复制与跨列递归。</x:v>
      </x:c>
      <x:c r="I12" s="53" t="str">
        <x:v>选择一列可移动牌，观察位置变化与一次短连锁。</x:v>
      </x:c>
      <x:c r="J12" s="53" t="str">
        <x:v>随机牌列→合法移动解锁空间→少量效果帮助整理→完成列赚取改牌资源。</x:v>
      </x:c>
      <x:c r="K12" s="53" t="str">
        <x:v>先做两种效果与明确终止的牌列，不叠资源工厂、战斗、复杂点数变换。</x:v>
      </x:c>
      <x:c r="L12" s="53" t="str">
        <x:v>玩家不用阅读逐步日志就能解释一列为什么可以搬、为什么值得搬；如果玩完只会照执行序列操作则停止。</x:v>
      </x:c>
      <x:c r="M12" s="53" t="str">
        <x:v>备选</x:v>
      </x:c>
      <x:c r="N12" s="53" t="str">
        <x:v>搬动整列牌时，沿途按顺序执行牌上的简单效果</x:v>
      </x:c>
      <x:c r="O12" s="53" t="str">
        <x:v>会施法的接龙</x:v>
      </x:c>
      <x:c r="P12" s="73"/>
    </x:row>
    <x:row r="13" ht="45" customHeight="1">
      <x:c r="A13" s="60" t="n">
        <x:v>7</x:v>
      </x:c>
      <x:c r="B13" s="58" t="str">
        <x:v>输一手也能赢</x:v>
      </x:c>
      <x:c r="C13" s="54" t="str">
        <x:v>重构</x:v>
      </x:c>
      <x:c r="D13" s="54" t="str">
        <x:v>机制储备</x:v>
      </x:c>
      <x:c r="E13" s="64"/>
      <x:c r="F13" s="52" t="str"/>
      <x:c r="G13" s="52" t="str">
        <x:v>输也有收益能增加取舍，但没有可读对手信息时仍是猜拳；若两败一胜收益恒定则只是背周期。</x:v>
      </x:c>
      <x:c r="H13" s="52" t="str">
        <x:v>将敌方下一手或有限候选公开；胜、平、败给不同资源，关键技能消耗不同组合，防止固定输赢循环。</x:v>
      </x:c>
      <x:c r="I13" s="52" t="str">
        <x:v>在公开威胁下选择手势及是否消耗积蓄。</x:v>
      </x:c>
      <x:c r="J13" s="52" t="str">
        <x:v>读预告→决定承伤换资源或现在取胜→购买有限被动→新对手改变循环。</x:v>
      </x:c>
      <x:c r="K13" s="52" t="str">
        <x:v>三手势、两种资源、有限生命；先不做心理博弈AI和大量手势变体。</x:v>
      </x:c>
      <x:c r="L13" s="52" t="str">
        <x:v>同一个敌方预告在不同资源状态下诱发不同选择；最优策略不能固定为输两次赢一次。</x:v>
      </x:c>
      <x:c r="M13" s="52" t="str">
        <x:v>备选</x:v>
      </x:c>
      <x:c r="N13" s="52" t="str">
        <x:v>胜负分别触发不同资源，主动输一手可以为之后蓄力</x:v>
      </x:c>
      <x:c r="O13" s="52" t="str">
        <x:v>输一手也能赢</x:v>
      </x:c>
      <x:c r="P13" s="72"/>
    </x:row>
    <x:row r="14" ht="57.75" customHeight="1">
      <x:c r="A14" s="61" t="n">
        <x:v>8</x:v>
      </x:c>
      <x:c r="B14" s="59" t="str">
        <x:v>双头多米诺商路</x:v>
      </x:c>
      <x:c r="C14" s="55" t="str">
        <x:v>暂缓</x:v>
      </x:c>
      <x:c r="D14" s="55" t="str">
        <x:v>暂缓</x:v>
      </x:c>
      <x:c r="E14" s="65"/>
      <x:c r="F14" s="53" t="str"/>
      <x:c r="G14" s="53" t="str">
        <x:v>点数接口可见，但生产路由、货物转化与闭环同时进入会把熟悉的拼牌变成物流编程；目前缺少必须改变路线的局势。</x:v>
      </x:c>
      <x:c r="H14" s="53" t="str">
        <x:v>先只做接口配对和送达两个目标；提前展示两批不同订单，允许花代价反转一张牌；转化只保留一个节点。</x:v>
      </x:c>
      <x:c r="I14" s="53" t="str">
        <x:v>放一张双头牌或反转一张已有牌。</x:v>
      </x:c>
      <x:c r="J14" s="53" t="str">
        <x:v>给有限手牌→接通订单→兑现收入→下批需求变化→决定拆路还是延伸。</x:v>
      </x:c>
      <x:c r="K14" s="53" t="str">
        <x:v>单层网格、两类货、最多一个转换器，不做动态路径寻优和无限分流。</x:v>
      </x:c>
      <x:c r="L14" s="53" t="str">
        <x:v>玩家能直接沿图解释货去哪；下一批订单确实促使拆改已有路线，而非不断延长同一主干。</x:v>
      </x:c>
      <x:c r="M14" s="53" t="str">
        <x:v>备选</x:v>
      </x:c>
      <x:c r="N14" s="53" t="str">
        <x:v>接上的两端分别运送货物，分岔与闭环决定生产路线</x:v>
      </x:c>
      <x:c r="O14" s="53" t="str">
        <x:v>双头多米诺商路</x:v>
      </x:c>
      <x:c r="P14" s="73"/>
    </x:row>
    <x:row r="15" ht="57.75" customHeight="1">
      <x:c r="A15" s="60" t="n">
        <x:v>9</x:v>
      </x:c>
      <x:c r="B15" s="58" t="str">
        <x:v>六面世界</x:v>
      </x:c>
      <x:c r="C15" s="54" t="str">
        <x:v>暂缓</x:v>
      </x:c>
      <x:c r="D15" s="54" t="str">
        <x:v>暂缓</x:v>
      </x:c>
      <x:c r="E15" s="64"/>
      <x:c r="F15" s="52" t="str"/>
      <x:c r="G15" s="52" t="str">
        <x:v>六面翻转同时包含骰点、三维空间、重力和流体，原标注中成本不足以覆盖可读性与关卡验证；固定视角也不自动解决问题。</x:v>
      </x:c>
      <x:c r="H15" s="52" t="str">
        <x:v>只有在二维展开图能验证翻面决策后，再考虑三维表现；先用离散水滴移动，删除配重和自由流体。</x:v>
      </x:c>
      <x:c r="I15" s="52" t="str">
        <x:v>选择一次翻面方向，让已有水滴到达目标。</x:v>
      </x:c>
      <x:c r="J15" s="52" t="str">
        <x:v>获得面片→装到有限面位→翻面验证→保留地形或换新面片。</x:v>
      </x:c>
      <x:c r="K15" s="52" t="str">
        <x:v>两种面片、一个水滴、一条固定翻转轴；本轮不进入完整游戏制作。</x:v>
      </x:c>
      <x:c r="L15" s="52" t="str">
        <x:v>不靠旋转模型探索也能预测水滴下一位置，且翻面决策不等于按唯一正确序列转动。</x:v>
      </x:c>
      <x:c r="M15" s="52" t="str">
        <x:v>备选</x:v>
      </x:c>
      <x:c r="N15" s="52" t="str">
        <x:v>骰子六面都是可建造地形，翻面改变水流和重力方向</x:v>
      </x:c>
      <x:c r="O15" s="52" t="str">
        <x:v>六面世界</x:v>
      </x:c>
      <x:c r="P15" s="72"/>
    </x:row>
    <x:row r="16" ht="45" customHeight="1">
      <x:c r="A16" s="61" t="n">
        <x:v>10</x:v>
      </x:c>
      <x:c r="B16" s="59" t="str">
        <x:v>象棋消防队</x:v>
      </x:c>
      <x:c r="C16" s="55" t="str">
        <x:v>保留深化</x:v>
      </x:c>
      <x:c r="D16" s="55" t="str">
        <x:v>主候选池</x:v>
      </x:c>
      <x:c r="E16" s="65"/>
      <x:c r="F16" s="53" t="str"/>
      <x:c r="G16" s="53" t="str">
        <x:v>棋子走法与隔楼喷水有直接因果，火势预告可以形成紧急问题；玩家用同一动作完成移动、搭炮架和救援。</x:v>
      </x:c>
      <x:c r="H16" s="53" t="str">
        <x:v>只用车、马、炮三类救援方式；每轮公布火势变化，升级改变行动方法而非单纯喷水量。</x:v>
      </x:c>
      <x:c r="I16" s="53" t="str">
        <x:v>移动救援棋子、借建筑或队友隔子喷水。</x:v>
      </x:c>
      <x:c r="J16" s="53" t="str">
        <x:v>看火势→用有限行动救人灭火→留下建筑与水量影响下轮→救援奖励选择工具。</x:v>
      </x:c>
      <x:c r="K16" s="53" t="str">
        <x:v>小棋盘、三种棋子、两种灾情；不用真实水火物理，不叠城市经营。</x:v>
      </x:c>
      <x:c r="L16" s="53" t="str">
        <x:v>玩家能提前指出火为何蔓延；同一工具在不同建筑布局下改变优先级，基础队伍能通过普通关。</x:v>
      </x:c>
      <x:c r="M16" s="53" t="str">
        <x:v>备选</x:v>
      </x:c>
      <x:c r="N16" s="53" t="str">
        <x:v>棋子走法成为救援工具，建筑还可以临时充当炮架</x:v>
      </x:c>
      <x:c r="O16" s="53" t="str">
        <x:v>象棋消防队</x:v>
      </x:c>
      <x:c r="P16" s="73"/>
    </x:row>
    <x:row r="17" ht="57.75" customHeight="1">
      <x:c r="A17" s="60" t="n">
        <x:v>11</x:v>
      </x:c>
      <x:c r="B17" s="58" t="str">
        <x:v>多米诺施工队</x:v>
      </x:c>
      <x:c r="C17" s="54" t="str">
        <x:v>暂缓</x:v>
      </x:c>
      <x:c r="D17" s="54" t="str">
        <x:v>暂缓</x:v>
      </x:c>
      <x:c r="E17" s="64"/>
      <x:c r="F17" s="52" t="str"/>
      <x:c r="G17" s="52" t="str">
        <x:v>推倒后造路的演出成立，但骨牌间距、重量、地形与车辆共同模拟后，失败很难归因；搭桥也可能主要靠预制答案。</x:v>
      </x:c>
      <x:c r="H17" s="52" t="str">
        <x:v>先用离散骨牌槽和确定倒向；只验证倒牌后是否接通一条路，把桥、弹射和坡道分批试。</x:v>
      </x:c>
      <x:c r="I17" s="52" t="str">
        <x:v>摆少量骨牌，然后一次推倒验证。</x:v>
      </x:c>
      <x:c r="J17" s="52" t="str">
        <x:v>抽到构件→选择路线与兑现时点→推倒接通→回收部分骨牌准备下一处。</x:v>
      </x:c>
      <x:c r="K17" s="52" t="str">
        <x:v>二维固定槽位、单一搬运物；不同时做刚体堆叠、铰链和可变车辆。</x:v>
      </x:c>
      <x:c r="L17" s="52" t="str">
        <x:v>同布置多次结果一致；修改一块能产生玩家事先预测的变化，且两个可行路线有材料成本差异。</x:v>
      </x:c>
      <x:c r="M17" s="52" t="str">
        <x:v>备选</x:v>
      </x:c>
      <x:c r="N17" s="52" t="str">
        <x:v>倒下的骨牌变成桥梁、坡道和弹射板，连锁同时修路</x:v>
      </x:c>
      <x:c r="O17" s="52" t="str">
        <x:v>多米诺施工队</x:v>
      </x:c>
      <x:c r="P17" s="72"/>
    </x:row>
    <x:row r="18" ht="45" customHeight="1">
      <x:c r="A18" s="61" t="n">
        <x:v>12</x:v>
      </x:c>
      <x:c r="B18" s="59" t="str">
        <x:v>弹珠轨道工厂</x:v>
      </x:c>
      <x:c r="C18" s="55" t="str">
        <x:v>重构</x:v>
      </x:c>
      <x:c r="D18" s="55" t="str">
        <x:v>机制储备</x:v>
      </x:c>
      <x:c r="E18" s="65"/>
      <x:c r="F18" s="53" t="str"/>
      <x:c r="G18" s="53" t="str">
        <x:v>轨道变属性和分岔运输能够成立，但现案把搭轨道、速度门槛、生产链混在一起，可能只是自动化沙盒。</x:v>
      </x:c>
      <x:c r="H18" s="53" t="str">
        <x:v>把目标收束为有限弹珠预算下完成可见订单；允许提前出轨交货与多绕一圈加工，轨道每次通过耗耐久。</x:v>
      </x:c>
      <x:c r="I18" s="53" t="str">
        <x:v>调整一件轨道或发射一颗弹珠。</x:v>
      </x:c>
      <x:c r="J18" s="53" t="str">
        <x:v>随机件三选一→改线或补珠→运行一小批→交货回款→订单与磨损促使换线。</x:v>
      </x:c>
      <x:c r="K18" s="53" t="str">
        <x:v>固定俯视轨道槽、两种珠、一个加工状态，不做自由三维轨道和复杂速度模拟。</x:v>
      </x:c>
      <x:c r="L18" s="53" t="str">
        <x:v>出现卖掉半成品与继续加工的不同合理选择；轨道跑完后玩家能指出瓶颈，而非只等库存增长。</x:v>
      </x:c>
      <x:c r="M18" s="53" t="str">
        <x:v>备选</x:v>
      </x:c>
      <x:c r="N18" s="53" t="str">
        <x:v>每经过一个轨道件，弹珠改变属性并触发生产</x:v>
      </x:c>
      <x:c r="O18" s="53" t="str">
        <x:v>弹珠轨道工厂</x:v>
      </x:c>
      <x:c r="P18" s="73"/>
    </x:row>
    <x:row r="19" ht="89.25" customHeight="1">
      <x:c r="A19" s="60" t="n">
        <x:v>13</x:v>
      </x:c>
      <x:c r="B19" s="58" t="str">
        <x:v>套圈套出世界</x:v>
      </x:c>
      <x:c r="C19" s="54" t="str">
        <x:v>保留深化</x:v>
      </x:c>
      <x:c r="D19" s="54" t="str">
        <x:v>主候选池</x:v>
      </x:c>
      <x:c r="E19" s="64"/>
      <x:c r="F19" s="52" t="str"/>
      <x:c r="G19" s="52" t="str">
        <x:v>把套中奖品留场改造下一投，把技术动作、构筑和兑现取舍连在一起；效果可由飞行轨迹直接展示。</x:v>
      </x:c>
      <x:c r="H19" s="52" t="str">
        <x:v>圈采用稳定轨迹；奖品被套后可兑现并移走，或留场成为风扇、反弹板等明确机关；每件机关占场地位置；使用会消耗能量或耐久。</x:v>
      </x:c>
      <x:c r="I19" s="52" t="str">
        <x:v>选择投掷角度与力度，观察落点，决定奖品兑现或留场，再调整有限摆位。</x:v>
      </x:c>
      <x:c r="J19" s="52" t="str">
        <x:v>读场地，投圈，结算命中，处理奖品，有限改场，购买圈或机关，再挑战新陈列。</x:v>
      </x:c>
      <x:c r="K19" s="52" t="str">
        <x:v>二维侧视或固定平面判定，一种基础圈、两种机关、六个奖品位置。先不做真实三维套环、任意软体、圈的无限复制或复杂店铺经营。</x:v>
      </x:c>
      <x:c r="L19" s="52" t="str">
        <x:v>先在无成长条件下测试连续投掷是否愿意重试；再加入两种机关，观察玩家是否愿为下一轮牺牲当前现金，并随回款压力改变选择。 停止信号：投掷结果无法练习改善；留场与兑现长期只有一个优选；需要复杂机关动画才能掩盖单次操作无趣。</x:v>
      </x:c>
      <x:c r="M19" s="52" t="str">
        <x:v>首轮候选</x:v>
      </x:c>
      <x:c r="N19" s="52" t="str">
        <x:v>套中的奖品成为场地机关，改变下一次圈的飞行与回收</x:v>
      </x:c>
      <x:c r="O19" s="52" t="str">
        <x:v>套圈改造摊</x:v>
      </x:c>
      <x:c r="P19" s="72"/>
    </x:row>
    <x:row r="20" ht="45" customHeight="1">
      <x:c r="A20" s="61" t="n">
        <x:v>14</x:v>
      </x:c>
      <x:c r="B20" s="59" t="str">
        <x:v>抽积木发电站</x:v>
      </x:c>
      <x:c r="C20" s="55" t="str">
        <x:v>暂缓</x:v>
      </x:c>
      <x:c r="D20" s="55" t="str">
        <x:v>暂缓</x:v>
      </x:c>
      <x:c r="E20" s="65"/>
      <x:c r="F20" s="53" t="str"/>
      <x:c r="G20" s="53" t="str">
        <x:v>抽积木的张力来自物理稳定与失误风险，加机器供能并未自动形成构筑；危险奖励易变成统一的风险倍数。</x:v>
      </x:c>
      <x:c r="H20" s="53" t="str">
        <x:v>先做透明承重提示和每轮可提前兑现；不同模块只改变承重或取出方式，不再附一套工厂。</x:v>
      </x:c>
      <x:c r="I20" s="53" t="str">
        <x:v>抽取一块或立即收工，把风险变成可兑现收益。</x:v>
      </x:c>
      <x:c r="J20" s="53" t="str">
        <x:v>抽取→评估塔体→出售或留下加固件→更换局面后继续。</x:v>
      </x:c>
      <x:c r="K20" s="53" t="str">
        <x:v>少量预制塔、单一机械模型，不做任意堆叠与多机器能量网。</x:v>
      </x:c>
      <x:c r="L20" s="53" t="str">
        <x:v>玩家能区分自己判断失误与模拟误差；若继续玩的唯一原因只是倍数更高，不能进入构筑项目。</x:v>
      </x:c>
      <x:c r="M20" s="53" t="str">
        <x:v>备选</x:v>
      </x:c>
      <x:c r="N20" s="53" t="str">
        <x:v>抽出的积木可给机器供能，塔越危险当轮奖励越大</x:v>
      </x:c>
      <x:c r="O20" s="53" t="str">
        <x:v>抽积木发电站</x:v>
      </x:c>
      <x:c r="P20" s="73"/>
    </x:row>
    <x:row r="21" ht="45" customHeight="1">
      <x:c r="A21" s="60" t="n">
        <x:v>15</x:v>
      </x:c>
      <x:c r="B21" s="58" t="str">
        <x:v>纸飞机编队</x:v>
      </x:c>
      <x:c r="C21" s="54" t="str">
        <x:v>暂缓</x:v>
      </x:c>
      <x:c r="D21" s="54" t="str">
        <x:v>暂缓</x:v>
      </x:c>
      <x:c r="E21" s="64"/>
      <x:c r="F21" s="52" t="str"/>
      <x:c r="G21" s="52" t="str">
        <x:v>折痕、空气动力、分裂编队各有独立学习和实现成本；模板化后又可能只剩换飞机数值。</x:v>
      </x:c>
      <x:c r="H21" s="52" t="str">
        <x:v>先限制为三种可预览的折法，每种改变清楚的飞行曲线；去掉自主编队与真实气流互作用。</x:v>
      </x:c>
      <x:c r="I21" s="52" t="str">
        <x:v>选折法、发射角度与放手时机。</x:v>
      </x:c>
      <x:c r="J21" s="52" t="str">
        <x:v>抽纸材→有限折法改造→短航线取奖→决定换形还是保留。</x:v>
      </x:c>
      <x:c r="K21" s="52" t="str">
        <x:v>单视图、确定曲线、少量风区，不模拟真实折纸和多机气动。</x:v>
      </x:c>
      <x:c r="L21" s="52" t="str">
        <x:v>玩家能从折痕预测转向差别，并为不同目标选择不同折法；只有外观变化则暂停。</x:v>
      </x:c>
      <x:c r="M21" s="52" t="str">
        <x:v>备选</x:v>
      </x:c>
      <x:c r="N21" s="52" t="str">
        <x:v>折痕决定转弯、分裂与载荷，编队成员能互相借气流</x:v>
      </x:c>
      <x:c r="O21" s="52" t="str">
        <x:v>纸飞机编队</x:v>
      </x:c>
      <x:c r="P21" s="72"/>
    </x:row>
    <x:row r="22" ht="45" customHeight="1">
      <x:c r="A22" s="61" t="n">
        <x:v>16</x:v>
      </x:c>
      <x:c r="B22" s="59" t="str">
        <x:v>陀螺吞装备</x:v>
      </x:c>
      <x:c r="C22" s="55" t="str">
        <x:v>暂缓</x:v>
      </x:c>
      <x:c r="D22" s="55" t="str">
        <x:v>暂缓</x:v>
      </x:c>
      <x:c r="E22" s="65"/>
      <x:c r="F22" s="53" t="str"/>
      <x:c r="G22" s="53" t="str">
        <x:v>吸附装备改变重心是有后果的反转，但玩家发射后是否还拥有可理解决策尚不清楚，真实旋转碰撞会放大噪声。</x:v>
      </x:c>
      <x:c r="H22" s="53" t="str">
        <x:v>先固定场地，发射前选装备，碰撞后的吸附只在明确暂停窗口决定；装备提供可见的速度与耐久交换。</x:v>
      </x:c>
      <x:c r="I22" s="53" t="str">
        <x:v>发射并在拾取窗口选装、弃置或兑现零件。</x:v>
      </x:c>
      <x:c r="J22" s="53" t="str">
        <x:v>选零件→短战验证→回收或替换→新对手改变配置。</x:v>
      </x:c>
      <x:c r="K22" s="53" t="str">
        <x:v>二维简化碰撞、三类零件、一个发射方式；不先做自由装配和真实陀螺动力学。</x:v>
      </x:c>
      <x:c r="L22" s="53" t="str">
        <x:v>同配置多次表现的主要差异能归因，玩家能解释何时拒绝更重零件；否则只有观战噪声。</x:v>
      </x:c>
      <x:c r="M22" s="53" t="str">
        <x:v>备选</x:v>
      </x:c>
      <x:c r="N22" s="53" t="str">
        <x:v>击落的零件可临场吸附，强度增加也改变重心与转速</x:v>
      </x:c>
      <x:c r="O22" s="53" t="str">
        <x:v>陀螺吞装备</x:v>
      </x:c>
      <x:c r="P22" s="73"/>
    </x:row>
    <x:row r="23" ht="45" customHeight="1">
      <x:c r="A23" s="60" t="n">
        <x:v>17</x:v>
      </x:c>
      <x:c r="B23" s="58" t="str">
        <x:v>贴纸改造书</x:v>
      </x:c>
      <x:c r="C23" s="54" t="str">
        <x:v>重构</x:v>
      </x:c>
      <x:c r="D23" s="54" t="str">
        <x:v>机制储备</x:v>
      </x:c>
      <x:c r="E23" s="64"/>
      <x:c r="F23" s="52" t="str"/>
      <x:c r="G23" s="52" t="str">
        <x:v>贴功能很直观，但任意对象与任意属性会造成组合和关卡内容爆炸；有限属性也不意味着组合都有用。</x:v>
      </x:c>
      <x:c r="H23" s="52" t="str">
        <x:v>仅保留弹、粘、滑三种作用和四类物件，位置只区分接触面；可用胶水有限，撕下会损失一次使用。</x:v>
      </x:c>
      <x:c r="I23" s="52" t="str">
        <x:v>把贴纸贴到具体接触面，再启动一段短运输。</x:v>
      </x:c>
      <x:c r="J23" s="52" t="str">
        <x:v>随机贴纸→决定改什么物件→送达目标→留下少量工具→新地形逼迫换贴法。</x:v>
      </x:c>
      <x:c r="K23" s="52" t="str">
        <x:v>一屏二维刚性对象，无飞行、火、电、语义变物和开放世界。</x:v>
      </x:c>
      <x:c r="L23" s="52" t="str">
        <x:v>未预写的物件组合仍按统一规则工作；不同关卡确实让同一贴纸出现不同用处，不能只解固定谜题。</x:v>
      </x:c>
      <x:c r="M23" s="52" t="str">
        <x:v>备选</x:v>
      </x:c>
      <x:c r="N23" s="52" t="str">
        <x:v>贴纸会赋予物体真实功能，贴的位置决定作用范围</x:v>
      </x:c>
      <x:c r="O23" s="52" t="str">
        <x:v>贴纸改造书</x:v>
      </x:c>
      <x:c r="P23" s="72"/>
    </x:row>
    <x:row r="24" ht="45" customHeight="1">
      <x:c r="A24" s="61" t="n">
        <x:v>18</x:v>
      </x:c>
      <x:c r="B24" s="59" t="str">
        <x:v>跳房子副本</x:v>
      </x:c>
      <x:c r="C24" s="55" t="str">
        <x:v>合并</x:v>
      </x:c>
      <x:c r="D24" s="55" t="str">
        <x:v>合并</x:v>
      </x:c>
      <x:c r="E24" s="65" t="n">
        <x:v>4</x:v>
      </x:c>
      <x:c r="F24" s="53" t="str">
        <x:v>4 改路大富翁（主候选）</x:v>
      </x:c>
      <x:c r="G24" s="53" t="str">
        <x:v>其重复决策仍是改少量格子后依序触发，与4共享核心；加入连续跳跃再引入一套操作难度。</x:v>
      </x:c>
      <x:c r="H24" s="53" t="str">
        <x:v>把粉笔重画作为4的改路道具或独立包装实验；首轮只验证路径改写，不做反应跳跃。</x:v>
      </x:c>
      <x:c r="I24" s="53" t="str">
        <x:v>用有限粉笔改一个格子的连接。</x:v>
      </x:c>
      <x:c r="J24" s="53" t="str">
        <x:v>改格→沿路触发→拿到下一次改写资源，复用4的完整循环。</x:v>
      </x:c>
      <x:c r="K24" s="53" t="str">
        <x:v>一个改路道具，不为此另开发平台跳跃控制。</x:v>
      </x:c>
      <x:c r="L24" s="53" t="str">
        <x:v>粉笔道具改变玩家的路线取舍；如果只换格子外观，连模块也不保留。</x:v>
      </x:c>
      <x:c r="M24" s="53" t="str">
        <x:v>备选</x:v>
      </x:c>
      <x:c r="N24" s="53" t="str">
        <x:v>每个落脚格触发能力，粉笔可重画有限格子和连接</x:v>
      </x:c>
      <x:c r="O24" s="53" t="str">
        <x:v>跳房子副本</x:v>
      </x:c>
      <x:c r="P24" s="73" t="n">
        <x:v>4</x:v>
      </x:c>
    </x:row>
    <x:row r="25" ht="45" customHeight="1">
      <x:c r="A25" s="60" t="n">
        <x:v>19</x:v>
      </x:c>
      <x:c r="B25" s="58" t="str">
        <x:v>七块万能公司</x:v>
      </x:c>
      <x:c r="C25" s="54" t="str">
        <x:v>移出</x:v>
      </x:c>
      <x:c r="D25" s="54" t="str">
        <x:v>移出</x:v>
      </x:c>
      <x:c r="E25" s="64"/>
      <x:c r="F25" s="52" t="str"/>
      <x:c r="G25" s="52" t="str">
        <x:v>有限形状模板容易成为查配方换工具，任意轮廓则不可控；坦克、桥、鸟还各需要独立功能和关卡验证。</x:v>
      </x:c>
      <x:c r="H25" s="52" t="str">
        <x:v>从当前构筑池移出；如保留，应另按有限拼图游戏评估，不宣称通用工具沙盒。</x:v>
      </x:c>
      <x:c r="I25" s="52" t="str">
        <x:v>对照有限轮廓分配七块板。</x:v>
      </x:c>
      <x:c r="J25" s="52" t="str">
        <x:v>只有先证明零件在多个同时目标间反复分配有趣，才重新讨论关卡循环。</x:v>
      </x:c>
      <x:c r="K25" s="52" t="str">
        <x:v>不制作开放形状识别，不扩充几十种变形物体。</x:v>
      </x:c>
      <x:c r="L25" s="52" t="str">
        <x:v>玩家在多个同时需求之间主动拆装，而非每关照图拼唯一工具，才有重新入池的依据。</x:v>
      </x:c>
      <x:c r="M25" s="52" t="str">
        <x:v>备选</x:v>
      </x:c>
      <x:c r="N25" s="52" t="str">
        <x:v>拼成的物体获得对应功能，有限零件要在工具之间反复拆装</x:v>
      </x:c>
      <x:c r="O25" s="52" t="str">
        <x:v>七块万能公司</x:v>
      </x:c>
      <x:c r="P25" s="72"/>
    </x:row>
    <x:row r="26" ht="45" customHeight="1">
      <x:c r="A26" s="61" t="n">
        <x:v>20</x:v>
      </x:c>
      <x:c r="B26" s="59" t="str">
        <x:v>肥皂泡运输队</x:v>
      </x:c>
      <x:c r="C26" s="55" t="str">
        <x:v>暂缓</x:v>
      </x:c>
      <x:c r="D26" s="55" t="str">
        <x:v>暂缓</x:v>
      </x:c>
      <x:c r="E26" s="65"/>
      <x:c r="F26" s="53" t="str"/>
      <x:c r="G26" s="53" t="str">
        <x:v>合并分裂与载重可形成运输决策，但气体、泡膜、风向和碰撞一起进入后难读；漂亮软体演出不能证明循环。</x:v>
      </x:c>
      <x:c r="H26" s="53" t="str">
        <x:v>先用确定容量的圆形泡泡和可见风道，分裂损失膜资源；每批货物的目的地同时公开。</x:v>
      </x:c>
      <x:c r="I26" s="53" t="str">
        <x:v>合并、分裂或释放一个装货泡泡。</x:v>
      </x:c>
      <x:c r="J26" s="53" t="str">
        <x:v>选货→分配泡膜与容量→短程送达→赚取膜资源→下一批货改变分组。</x:v>
      </x:c>
      <x:c r="K26" s="53" t="str">
        <x:v>无软体流体、一个平面、两类膜、两股固定风。</x:v>
      </x:c>
      <x:c r="L26" s="53" t="str">
        <x:v>两种分组方案分别在成本和送达率上有优势；同操作结果稳定，普通膜也能完成基本订单。</x:v>
      </x:c>
      <x:c r="M26" s="53" t="str">
        <x:v>备选</x:v>
      </x:c>
      <x:c r="N26" s="53" t="str">
        <x:v>泡泡可以合并、分裂，表面附着物决定升力和碰撞效果</x:v>
      </x:c>
      <x:c r="O26" s="53" t="str">
        <x:v>肥皂泡运输队</x:v>
      </x:c>
      <x:c r="P26" s="73"/>
    </x:row>
    <x:row r="27" ht="45" customHeight="1">
      <x:c r="A27" s="60" t="n">
        <x:v>21</x:v>
      </x:c>
      <x:c r="B27" s="58" t="str">
        <x:v>一杆清场台球</x:v>
      </x:c>
      <x:c r="C27" s="54" t="str">
        <x:v>保留深化</x:v>
      </x:c>
      <x:c r="D27" s="54" t="str">
        <x:v>主候选池</x:v>
      </x:c>
      <x:c r="E27" s="64"/>
      <x:c r="F27" s="52" t="str"/>
      <x:c r="G27" s="52" t="str">
        <x:v>一次击球能直接验证多项局内选择；球保留在场上做能力支点，还是进袋换钱，天然形成非加法的经济取舍。</x:v>
      </x:c>
      <x:c r="H27" s="52" t="str">
        <x:v>每轮限制杆数，进袋即移除该球的场上能力并给收入；碰撞只传递一个易识别状态，显示短段路径预览。</x:v>
      </x:c>
      <x:c r="I27" s="52" t="str">
        <x:v>瞄准击球，选择先取钱还是利用场上球继续连锁。</x:v>
      </x:c>
      <x:c r="J27" s="52" t="str">
        <x:v>随机球与库边模块→用有限预算配置→三杆内完成目标→买球或存钱→更换障碍布局。</x:v>
      </x:c>
      <x:c r="K27" s="52" t="str">
        <x:v>二维圆球、三种球、两类袋；不做真实旋转球、三维花式台球和多层递归分裂。</x:v>
      </x:c>
      <x:c r="L27" s="52" t="str">
        <x:v>玩家会因场上布局保留本可进袋的球；同配置重放因果一致，一次失误仍留下下一杆可调整局面。</x:v>
      </x:c>
      <x:c r="M27" s="52" t="str">
        <x:v>备选</x:v>
      </x:c>
      <x:c r="N27" s="52" t="str">
        <x:v>球与球碰撞传递能力，进袋顺序会改写剩余球的作用</x:v>
      </x:c>
      <x:c r="O27" s="52" t="str">
        <x:v>一杆清场台球</x:v>
      </x:c>
      <x:c r="P27" s="72"/>
    </x:row>
    <x:row r="28" ht="45" customHeight="1">
      <x:c r="A28" s="61" t="n">
        <x:v>22</x:v>
      </x:c>
      <x:c r="B28" s="59" t="str">
        <x:v>保龄球保卫战</x:v>
      </x:c>
      <x:c r="C28" s="55" t="str">
        <x:v>移出</x:v>
      </x:c>
      <x:c r="D28" s="55" t="str">
        <x:v>移出</x:v>
      </x:c>
      <x:c r="E28" s="65"/>
      <x:c r="F28" s="53" t="str"/>
      <x:c r="G28" s="53" t="str">
        <x:v>倒瓶变队友、路障和弹射器混合了三种验证目标；现有投掷后改场地的决策已被13更直接承载。</x:v>
      </x:c>
      <x:c r="H28" s="53" t="str">
        <x:v>移出独立项目，不把保龄球瓶和作战队友硬塞到13；只保留倒瓶反馈作为表现参考。</x:v>
      </x:c>
      <x:c r="I28" s="53" t="str">
        <x:v>滚球击倒一组目标。</x:v>
      </x:c>
      <x:c r="J28" s="53" t="str">
        <x:v>当前未定义有别于既有投掷方案的持续选择，先不扩展循环。</x:v>
      </x:c>
      <x:c r="K28" s="53" t="str">
        <x:v>停止兵种、敌人、自动战斗与场景演化制作。</x:v>
      </x:c>
      <x:c r="L28" s="53" t="str">
        <x:v>只有证明某次刻意少倒瓶能产生下一轮不同且有价值的投法，才值得重新评估。</x:v>
      </x:c>
      <x:c r="M28" s="53" t="str">
        <x:v>备选</x:v>
      </x:c>
      <x:c r="N28" s="53" t="str">
        <x:v>倒下的瓶子会成为下一轮路障、队友或弹射器</x:v>
      </x:c>
      <x:c r="O28" s="53" t="str">
        <x:v>保龄球保卫战</x:v>
      </x:c>
      <x:c r="P28" s="73"/>
    </x:row>
    <x:row r="29" ht="45" customHeight="1">
      <x:c r="A29" s="60" t="n">
        <x:v>23</x:v>
      </x:c>
      <x:c r="B29" s="58" t="str">
        <x:v>飞镖连乘靶</x:v>
      </x:c>
      <x:c r="C29" s="54" t="str">
        <x:v>重构</x:v>
      </x:c>
      <x:c r="D29" s="54" t="str">
        <x:v>机制储备</x:v>
      </x:c>
      <x:c r="E29" s="64"/>
      <x:c r="F29" s="52" t="str"/>
      <x:c r="G29" s="52" t="str">
        <x:v>靶区叠加很易读，但把最高倍区叠在同一中心可能成为永久最优；瞄准和布局的相互影响尚未闭合。</x:v>
      </x:c>
      <x:c r="H29" s="52" t="str">
        <x:v>命中的外层靶片被消耗，外圈给改靶材料、内圈给分；每轮有限片数与穿透次数，使得分和维持靶场互斥。</x:v>
      </x:c>
      <x:c r="I29" s="52" t="str">
        <x:v>移动一片靶区后投一镖，观察消耗与资源结果。</x:v>
      </x:c>
      <x:c r="J29" s="52" t="str">
        <x:v>给靶片→布置可穿过区域→投镖得分或补材料→重贴→下轮要求改变。</x:v>
      </x:c>
      <x:c r="K29" s="52" t="str">
        <x:v>二维靶面、三类靶片、固定散布预告，不增加复杂飞行物理。</x:v>
      </x:c>
      <x:c r="L29" s="52" t="str">
        <x:v>玩家因材料状态主动瞄外圈；同中心叠倍方案不能长期支配所有局面，才进入主动池。</x:v>
      </x:c>
      <x:c r="M29" s="52" t="str">
        <x:v>备选</x:v>
      </x:c>
      <x:c r="N29" s="52" t="str">
        <x:v>玩家可以剪贴靶区，飞镖穿过重叠区域连续触发效果</x:v>
      </x:c>
      <x:c r="O29" s="52" t="str">
        <x:v>飞镖连乘靶</x:v>
      </x:c>
      <x:c r="P29" s="72"/>
    </x:row>
    <x:row r="30" ht="45" customHeight="1">
      <x:c r="A30" s="61" t="n">
        <x:v>24</x:v>
      </x:c>
      <x:c r="B30" s="59" t="str">
        <x:v>打砖块建筑师</x:v>
      </x:c>
      <x:c r="C30" s="55" t="str">
        <x:v>保留深化</x:v>
      </x:c>
      <x:c r="D30" s="55" t="str">
        <x:v>主候选池</x:v>
      </x:c>
      <x:c r="E30" s="65"/>
      <x:c r="F30" s="53" t="str"/>
      <x:c r="G30" s="53" t="str">
        <x:v>接球动作已有即时反馈，砖块重新用于挡板或场地会直接改变下一次球路，而不只是增加伤害。</x:v>
      </x:c>
      <x:c r="H30" s="53" t="str">
        <x:v>砖块只能装挡板、铺场地或卖钱三选一；场地砖有耐久，球经有限碰撞需回到挡板补能。</x:v>
      </x:c>
      <x:c r="I30" s="53" t="str">
        <x:v>接球，在波次间选择砖块去向与摆位。</x:v>
      </x:c>
      <x:c r="J30" s="53" t="str">
        <x:v>打砖取材→强化接球稳定性或布局连击区→下一波验证→修补或购买新模块。</x:v>
      </x:c>
      <x:c r="K30" s="53" t="str">
        <x:v>二维单屏、两类砖效果、有限场地槽；不加角色移动、敌人技能与无限回旋。</x:v>
      </x:c>
      <x:c r="L30" s="53" t="str">
        <x:v>不同构筑改变玩家接球位置与发射方向；砖更少的开局仍能靠操作推进，录像能看出关键反弹来源。</x:v>
      </x:c>
      <x:c r="M30" s="53" t="str">
        <x:v>备选</x:v>
      </x:c>
      <x:c r="N30" s="53" t="str">
        <x:v>打下的砖能装上挡板，也能重新放到场中组成反弹路线</x:v>
      </x:c>
      <x:c r="O30" s="53" t="str">
        <x:v>打砖块建筑师</x:v>
      </x:c>
      <x:c r="P30" s="73"/>
    </x:row>
    <x:row r="31" ht="45" customHeight="1">
      <x:c r="A31" s="60" t="n">
        <x:v>25</x:v>
      </x:c>
      <x:c r="B31" s="58" t="str">
        <x:v>扣杀蓄能羽毛球</x:v>
      </x:c>
      <x:c r="C31" s="54" t="str">
        <x:v>暂缓</x:v>
      </x:c>
      <x:c r="D31" s="54" t="str">
        <x:v>暂缓</x:v>
      </x:c>
      <x:c r="E31" s="64"/>
      <x:c r="F31" s="52" t="str"/>
      <x:c r="G31" s="52" t="str">
        <x:v>多段球路叠成三条攻击与羽毛球单球预判直觉冲突；完整拉吊、接杀、AI与技能效果已是独立动作项目。</x:v>
      </x:c>
      <x:c r="H31" s="52" t="str">
        <x:v>先验证一段防守球路能否变成下次击球的落点选择；不直接复制多球，不用额外伤害条掩盖球路价值。</x:v>
      </x:c>
      <x:c r="I31" s="52" t="str">
        <x:v>接球后在有限保存球路中选一次反击。</x:v>
      </x:c>
      <x:c r="J31" s="52" t="str">
        <x:v>普通对拉→积累一种反击路线→择机用出→对手位置改变后重新积累。</x:v>
      </x:c>
      <x:c r="K31" s="52" t="str">
        <x:v>单视角、两种来球、一个对手模式；先不做完整体育规则和联机。</x:v>
      </x:c>
      <x:c r="L31" s="52" t="str">
        <x:v>保存球路改变实际站位和回球选择，且玩家可以从球迹理解；若只增加命中率或伤害则停止。</x:v>
      </x:c>
      <x:c r="M31" s="52" t="str">
        <x:v>备选</x:v>
      </x:c>
      <x:c r="N31" s="52" t="str">
        <x:v>每次成功防守可保留一段球路，最后把多段球路叠成一次进攻</x:v>
      </x:c>
      <x:c r="O31" s="52" t="str">
        <x:v>扣杀蓄能羽毛球</x:v>
      </x:c>
      <x:c r="P31" s="72"/>
    </x:row>
    <x:row r="32" ht="45" customHeight="1">
      <x:c r="A32" s="61" t="n">
        <x:v>26</x:v>
      </x:c>
      <x:c r="B32" s="59" t="str">
        <x:v>魔改迷你高尔夫</x:v>
      </x:c>
      <x:c r="C32" s="55" t="str">
        <x:v>暂缓</x:v>
      </x:c>
      <x:c r="D32" s="55" t="str">
        <x:v>暂缓</x:v>
      </x:c>
      <x:c r="E32" s="65"/>
      <x:c r="F32" s="53" t="str"/>
      <x:c r="G32" s="53" t="str">
        <x:v>便携坡道能让构筑改变击球，但与21争用相似的瞄准原型投入；每洞设计若主要靠预制解，会限制重玩。</x:v>
      </x:c>
      <x:c r="H32" s="53" t="str">
        <x:v>先做同一洞的多组障碍与公开目标；坡道用后占库存或损耗，取近处奖励与直接进洞互斥。</x:v>
      </x:c>
      <x:c r="I32" s="53" t="str">
        <x:v>摆一件便携地形，再击一杆。</x:v>
      </x:c>
      <x:c r="J32" s="53" t="str">
        <x:v>选地形奖励→在小洞中部署→有限杆数取奖或进洞→回收或换件。</x:v>
      </x:c>
      <x:c r="K32" s="53" t="str">
        <x:v>平面几何与少量固定坡道，不做自由地形雕刻和大型课程。</x:v>
      </x:c>
      <x:c r="L32" s="53" t="str">
        <x:v>同一便携件在两组目标下有不同摆位；玩家愿意舍弃最短杆数争取资源，才值得扩大。</x:v>
      </x:c>
      <x:c r="M32" s="53" t="str">
        <x:v>备选</x:v>
      </x:c>
      <x:c r="N32" s="53" t="str">
        <x:v>上一洞拿到的地形件可以带到下一洞，球洞本身也能强化</x:v>
      </x:c>
      <x:c r="O32" s="53" t="str">
        <x:v>魔改迷你高尔夫</x:v>
      </x:c>
      <x:c r="P32" s="73"/>
    </x:row>
    <x:row r="33" ht="45" customHeight="1">
      <x:c r="A33" s="60" t="n">
        <x:v>27</x:v>
      </x:c>
      <x:c r="B33" s="58" t="str">
        <x:v>贪吃蛇孵化场</x:v>
      </x:c>
      <x:c r="C33" s="54" t="str">
        <x:v>保留深化</x:v>
      </x:c>
      <x:c r="D33" s="54" t="str">
        <x:v>主候选池</x:v>
      </x:c>
      <x:c r="E33" s="64"/>
      <x:c r="F33" s="52" t="str"/>
      <x:c r="G33" s="52" t="str">
        <x:v>身体长度既是成长也是空间负担，切尾会同时改变主蛇与资源采集方式，代价与收益可直接看到。</x:v>
      </x:c>
      <x:c r="H33" s="52" t="str">
        <x:v>分身限制两条并按简单预告路径活动；断尾损失对应身体能力，回收需花行动，避免蛇群越多恒优。</x:v>
      </x:c>
      <x:c r="I33" s="52" t="str">
        <x:v>转向吃料，在可见切点选择断尾或保持长度。</x:v>
      </x:c>
      <x:c r="J33" s="52" t="str">
        <x:v>采集身体模块→躲避空间约束→拆分任务或保留主蛇→回收资源买模块→新地形调整次序。</x:v>
      </x:c>
      <x:c r="K33" s="52" t="str">
        <x:v>离散网格、三类身体节、两类小蛇行为；不做六蛇自主寻路与敌群战斗。</x:v>
      </x:c>
      <x:c r="L33" s="52" t="str">
        <x:v>玩家会有意识保持短蛇或回收分身；不能把分身自主撞击变成主蛇不可控惩罚，普通采集也能维持循环。</x:v>
      </x:c>
      <x:c r="M33" s="52" t="str">
        <x:v>首轮候选</x:v>
      </x:c>
      <x:c r="N33" s="52" t="str">
        <x:v>身体各节是功能模块，主动断尾可孵化自主小蛇</x:v>
      </x:c>
      <x:c r="O33" s="52" t="str">
        <x:v>贪吃蛇孵化场</x:v>
      </x:c>
      <x:c r="P33" s="72"/>
    </x:row>
    <x:row r="34" ht="45" customHeight="1">
      <x:c r="A34" s="61" t="n">
        <x:v>28</x:v>
      </x:c>
      <x:c r="B34" s="59" t="str">
        <x:v>钓鱼食物链</x:v>
      </x:c>
      <x:c r="C34" s="55" t="str">
        <x:v>重构</x:v>
      </x:c>
      <x:c r="D34" s="55" t="str">
        <x:v>机制储备</x:v>
      </x:c>
      <x:c r="E34" s="65"/>
      <x:c r="F34" s="53" t="str"/>
      <x:c r="G34" s="53" t="str">
        <x:v>用小鱼钓大鱼是自然风险升级，但若大鱼总更有价值，它仍是一条单向升级链；新鲜鱼饵本身未形成构筑。</x:v>
      </x:c>
      <x:c r="H34" s="53" t="str">
        <x:v>公开目标的食性、鱼饵耐久与可出售价值；某些鱼可拆成多次小饵，另一些完整使用才引来特定鱼种。</x:v>
      </x:c>
      <x:c r="I34" s="53" t="str">
        <x:v>选择兑现鱼获、拆饵或整鱼再投。</x:v>
      </x:c>
      <x:c r="J34" s="53" t="str">
        <x:v>有限投竿→取得鱼获→在现金、次数和目标鱼间取舍→升级一件钓具→新水域改变食性需求。</x:v>
      </x:c>
      <x:c r="K34" s="53" t="str">
        <x:v>二维固定水域、四种食性关系、两项钓具，不做开放钓场和复杂拉鱼模拟。</x:v>
      </x:c>
      <x:c r="L34" s="53" t="str">
        <x:v>玩家会放弃更大鱼追求订单或稳定现金，同一鱼获出现两种可解释用途，才通过循环测试。</x:v>
      </x:c>
      <x:c r="M34" s="53" t="str">
        <x:v>备选</x:v>
      </x:c>
      <x:c r="N34" s="53" t="str">
        <x:v>钓到的鱼可留作成果，也可变成引来更大目标的鱼饵</x:v>
      </x:c>
      <x:c r="O34" s="53" t="str">
        <x:v>钓鱼食物链</x:v>
      </x:c>
      <x:c r="P34" s="73"/>
    </x:row>
    <x:row r="35" ht="57.75" customHeight="1">
      <x:c r="A35" s="60" t="n">
        <x:v>29</x:v>
      </x:c>
      <x:c r="B35" s="58" t="str">
        <x:v>水漂接力</x:v>
      </x:c>
      <x:c r="C35" s="54" t="str">
        <x:v>暂缓</x:v>
      </x:c>
      <x:c r="D35" s="54" t="str">
        <x:v>暂缓</x:v>
      </x:c>
      <x:c r="E35" s="64"/>
      <x:c r="F35" s="52" t="str"/>
      <x:c r="G35" s="52" t="str">
        <x:v>前投给后投铺路有明显接力效果，但构筑多数发生在两次抛投之间，尚未形成跨轮选择；水面物理也可能妨碍读路。</x:v>
      </x:c>
      <x:c r="H35" s="52" t="str">
        <x:v>把涟漪改成有限寿命的明确跳点，石头可用于铺路或直接兑现，后继石材只保留一种差异。</x:v>
      </x:c>
      <x:c r="I35" s="52" t="str">
        <x:v>选落点投石，决定保留跳板还是直接跨湖收奖。</x:v>
      </x:c>
      <x:c r="J35" s="52" t="str">
        <x:v>抽到有限石头→铺路→接力取奖→回收部分跳点能力到下一段湖面。</x:v>
      </x:c>
      <x:c r="K35" s="52" t="str">
        <x:v>固定侧视、离散落点、确定跳跃曲线，无水体模拟。</x:v>
      </x:c>
      <x:c r="L35" s="52" t="str">
        <x:v>同一石头在两种局面分别适合铺路或收奖；重试仅修正一处角度就能产生可预测改善。</x:v>
      </x:c>
      <x:c r="M35" s="52" t="str">
        <x:v>备选</x:v>
      </x:c>
      <x:c r="N35" s="52" t="str">
        <x:v>前一颗石头留下短时涟漪跳板，后一颗可沿旧路线继续</x:v>
      </x:c>
      <x:c r="O35" s="52" t="str">
        <x:v>水漂接力</x:v>
      </x:c>
      <x:c r="P35" s="72"/>
    </x:row>
    <x:row r="36" ht="45" customHeight="1">
      <x:c r="A36" s="61" t="n">
        <x:v>30</x:v>
      </x:c>
      <x:c r="B36" s="59" t="str">
        <x:v>篮球永动机</x:v>
      </x:c>
      <x:c r="C36" s="55" t="str">
        <x:v>合并</x:v>
      </x:c>
      <x:c r="D36" s="55" t="str">
        <x:v>合并</x:v>
      </x:c>
      <x:c r="E36" s="65" t="n">
        <x:v>12</x:v>
      </x:c>
      <x:c r="F36" s="53" t="str">
        <x:v>12 弹珠轨道工厂（机制储备）</x:v>
      </x:c>
      <x:c r="G36" s="53" t="str">
        <x:v>篮筐接力最终也是物体经过节点加工和分流，与12共享重复决策；篮球包装没有带来额外可选择行为。</x:v>
      </x:c>
      <x:c r="H36" s="53" t="str">
        <x:v>只把定角再发射做成12的一个节点；取消篮球独立主题与无限球雨，把能量消耗和交货目标放在同一系统。</x:v>
      </x:c>
      <x:c r="I36" s="53" t="str">
        <x:v>放置一个定角发射节点，选择直达还是绕行。</x:v>
      </x:c>
      <x:c r="J36" s="53" t="str">
        <x:v>共用12的给件、改线、批量运行与交货循环。</x:v>
      </x:c>
      <x:c r="K36" s="53" t="str">
        <x:v>最多一种发射节点，不额外开发完整篮球手感或球场规则。</x:v>
      </x:c>
      <x:c r="L36" s="53" t="str">
        <x:v>发射节点确实创造原有轨道做不到的有代价路径；只是放大球数则不加入。</x:v>
      </x:c>
      <x:c r="M36" s="53" t="str">
        <x:v>备选</x:v>
      </x:c>
      <x:c r="N36" s="53" t="str">
        <x:v>球进筐后按设定角度再次发射，篮筐逐渐形成接力网络</x:v>
      </x:c>
      <x:c r="O36" s="53" t="str">
        <x:v>篮球永动机</x:v>
      </x:c>
      <x:c r="P36" s="73" t="n">
        <x:v>12</x:v>
      </x:c>
    </x:row>
    <x:row r="37" ht="45" customHeight="1">
      <x:c r="A37" s="60" t="n">
        <x:v>31</x:v>
      </x:c>
      <x:c r="B37" s="58" t="str">
        <x:v>火锅连锁局</x:v>
      </x:c>
      <x:c r="C37" s="54" t="str">
        <x:v>保留深化</x:v>
      </x:c>
      <x:c r="D37" s="54" t="str">
        <x:v>主候选池</x:v>
      </x:c>
      <x:c r="E37" s="64"/>
      <x:c r="F37" s="52" t="str"/>
      <x:c r="G37" s="52" t="str">
        <x:v>位置、熟度和捞取时点都能由火锅画面直接表达；同一锅内的取舍可以同时验证组合和资源消耗。</x:v>
      </x:c>
      <x:c r="H37" s="52" t="str">
        <x:v>采用回合熟度而非真实等待；捞起会带走或留下明确风味，食材存在同时保留、切分和提前上菜的互斥用途。</x:v>
      </x:c>
      <x:c r="I37" s="52" t="str">
        <x:v>下一份食材、换一格或捞一份，每次行动推动整锅熟度。</x:v>
      </x:c>
      <x:c r="J37" s="52" t="str">
        <x:v>看本轮订单→安排下锅与捞取→结算风味连锁→选食材或锅具→下轮订单改变最佳做法。</x:v>
      </x:c>
      <x:c r="K37" s="52" t="str">
        <x:v>单锅少量格、六种食材、两种风味、三档熟度；不模拟化学，不叠餐厅行走经营。</x:v>
      </x:c>
      <x:c r="L37" s="52" t="str">
        <x:v>玩家能预报下一行动对相邻菜的影响；普通食材能成组合，同一食材会因订单不同选择整份、切分或提前捞走。</x:v>
      </x:c>
      <x:c r="M37" s="52" t="str">
        <x:v>首轮候选</x:v>
      </x:c>
      <x:c r="N37" s="52" t="str">
        <x:v>食材在锅里会影响相邻食材，捞取顺序改变后续锅底</x:v>
      </x:c>
      <x:c r="O37" s="52" t="str">
        <x:v>火锅连锁局</x:v>
      </x:c>
      <x:c r="P37" s="72"/>
    </x:row>
    <x:row r="38" ht="89.25" customHeight="1">
      <x:c r="A38" s="61" t="n">
        <x:v>32</x:v>
      </x:c>
      <x:c r="B38" s="59" t="str">
        <x:v>回转寿司工坊</x:v>
      </x:c>
      <x:c r="C38" s="55" t="str">
        <x:v>保留深化</x:v>
      </x:c>
      <x:c r="D38" s="55" t="str">
        <x:v>主候选池</x:v>
      </x:c>
      <x:c r="E38" s="65"/>
      <x:c r="F38" s="53" t="str"/>
      <x:c r="G38" s="53" t="str">
        <x:v>单环、盘位和离席窗口能让工序与售卖时机发生冲突；固定加工站顺序本身只证明生产线能运转。</x:v>
      </x:c>
      <x:c r="H38" s="53" t="str">
        <x:v>加工站改变料理状态；切分把同一总量分为多份并多占盘位；每圈前标记可交付/保留，顾客只取符合需求的可交付盘；保留盘持续占位并承担离席风险。空盘经清洗消耗资源后恢复可用容量。</x:v>
      </x:c>
      <x:c r="I38" s="53" t="str">
        <x:v>投入食材、有限挪动站点，并在每圈运行前将盘子标记为可交付或保留。</x:v>
      </x:c>
      <x:c r="J38" s="53" t="str">
        <x:v>读订单，安排有限工位，投入原料并标记盘子，逐站结算加工和交付，收款或让保留盘继续占位，购买/更换组件，再面对新订单。</x:v>
      </x:c>
      <x:c r="K38" s="53" t="str">
        <x:v>二维单环，6个站位，6种基础料理状态，4种加工站，2类互斥订单。固定运行步数。首轮不做自由多环、员工经营、物理切菜或多品类餐饮。</x:v>
      </x:c>
      <x:c r="L38" s="53" t="str">
        <x:v>让玩家用同一套站点应对两种需求，观察是否主动改造和解释取舍；撤去关键站点后观察是否能转为基础出售；删掉切分规则比较决策是否明显减少。 停止信号：改订单后仍总用同一排列；后半段只重复点开始；玩家只看见涨钱而说不出工位的作用。</x:v>
      </x:c>
      <x:c r="M38" s="53" t="str">
        <x:v>首轮候选</x:v>
      </x:c>
      <x:c r="N38" s="53" t="str">
        <x:v>客人和厨具是沿线触发器，盘子跑过一圈会被加工或消费</x:v>
      </x:c>
      <x:c r="O38" s="53" t="str">
        <x:v>回转寿司工坊</x:v>
      </x:c>
      <x:c r="P38" s="73"/>
    </x:row>
    <x:row r="39" ht="45" customHeight="1">
      <x:c r="A39" s="60" t="n">
        <x:v>33</x:v>
      </x:c>
      <x:c r="B39" s="58" t="str">
        <x:v>串串阵列</x:v>
      </x:c>
      <x:c r="C39" s="54" t="str">
        <x:v>合并</x:v>
      </x:c>
      <x:c r="D39" s="54" t="str">
        <x:v>合并</x:v>
      </x:c>
      <x:c r="E39" s="64" t="n">
        <x:v>31</x:v>
      </x:c>
      <x:c r="F39" s="52" t="str">
        <x:v>31 火锅连锁局（主候选）</x:v>
      </x:c>
      <x:c r="G39" s="52" t="str">
        <x:v>一串上的触发顺序可读，但独立验证仍是做菜得分，和31的邻接与取菜顺序高度重叠。</x:v>
      </x:c>
      <x:c r="H39" s="52" t="str">
        <x:v>把串签做成31的可选容器：绑定两至三块食材一起捞取，获得定向传味但失去分批出锅自由。</x:v>
      </x:c>
      <x:c r="I39" s="52" t="str">
        <x:v>选两块食材穿串，决定承担一起出锅的代价。</x:v>
      </x:c>
      <x:c r="J39" s="52" t="str">
        <x:v>在31循环中换取方向联动，并由订单与熟度检验绑定是否划算。</x:v>
      </x:c>
      <x:c r="K39" s="52" t="str">
        <x:v>一种串签、明确绑定上限；不另做烤串系统与全部签子效果。</x:v>
      </x:c>
      <x:c r="L39" s="52" t="str">
        <x:v>玩家会因熟度冲突而拒绝连串，也会因订单需要主动绑定；否则只是无代价增幅。</x:v>
      </x:c>
      <x:c r="M39" s="52" t="str">
        <x:v>备选</x:v>
      </x:c>
      <x:c r="N39" s="52" t="str">
        <x:v>串签决定触发方向，某些食材会把效果传给前后邻居</x:v>
      </x:c>
      <x:c r="O39" s="52" t="str">
        <x:v>串串阵列</x:v>
      </x:c>
      <x:c r="P39" s="72" t="n">
        <x:v>31</x:v>
      </x:c>
    </x:row>
    <x:row r="40" ht="45" customHeight="1">
      <x:c r="A40" s="61" t="n">
        <x:v>34</x:v>
      </x:c>
      <x:c r="B40" s="59" t="str">
        <x:v>咖啡分层术</x:v>
      </x:c>
      <x:c r="C40" s="55" t="str">
        <x:v>合并</x:v>
      </x:c>
      <x:c r="D40" s="55" t="str">
        <x:v>合并</x:v>
      </x:c>
      <x:c r="E40" s="65" t="n">
        <x:v>39</x:v>
      </x:c>
      <x:c r="F40" s="53" t="str">
        <x:v>39 调酒元素塔（机制储备）</x:v>
      </x:c>
      <x:c r="G40" s="53" t="str">
        <x:v>饮品分层、回流和顺序效果与39几乎同一决策；咖啡知识没有天然解释任意香气乘数。</x:v>
      </x:c>
      <x:c r="H40" s="53" t="str">
        <x:v>作为39的一种杯型与无酒精包装备选，先删除自动回流，保留分层或混合的互斥选择。</x:v>
      </x:c>
      <x:c r="I40" s="53" t="str">
        <x:v>倒入一层或将已有两层混合。</x:v>
      </x:c>
      <x:c r="J40" s="53" t="str">
        <x:v>共用39的公开口味目标、有限材料、调配与交付循环。</x:v>
      </x:c>
      <x:c r="K40" s="53" t="str">
        <x:v>一个杯型，不新增研磨、萃取、拉花三套操作。</x:v>
      </x:c>
      <x:c r="L40" s="53" t="str">
        <x:v>杯型改变分层取舍而非仅改变视觉与倍率，否则只保留包装。</x:v>
      </x:c>
      <x:c r="M40" s="53" t="str">
        <x:v>备选</x:v>
      </x:c>
      <x:c r="N40" s="53" t="str">
        <x:v>每层饮品改变穿过它的下一层效果，杯型限定流动路线</x:v>
      </x:c>
      <x:c r="O40" s="53" t="str">
        <x:v>咖啡分层术</x:v>
      </x:c>
      <x:c r="P40" s="73" t="n">
        <x:v>39</x:v>
      </x:c>
    </x:row>
    <x:row r="41" ht="45" customHeight="1">
      <x:c r="A41" s="60" t="n">
        <x:v>35</x:v>
      </x:c>
      <x:c r="B41" s="58" t="str">
        <x:v>烤箱时间差</x:v>
      </x:c>
      <x:c r="C41" s="54" t="str">
        <x:v>合并</x:v>
      </x:c>
      <x:c r="D41" s="54" t="str">
        <x:v>合并</x:v>
      </x:c>
      <x:c r="E41" s="64" t="n">
        <x:v>31</x:v>
      </x:c>
      <x:c r="F41" s="52" t="str">
        <x:v>31 火锅连锁局（主候选）</x:v>
      </x:c>
      <x:c r="G41" s="52" t="str">
        <x:v>热区、取出顺序和成熟时点与31共享核心，独立烤箱只是另一套食物资源与界面。</x:v>
      </x:c>
      <x:c r="H41" s="52" t="str">
        <x:v>把单向热区或隔热托盘作为31的锅具试验；保留取出食物改变后续热分配的明确规则。</x:v>
      </x:c>
      <x:c r="I41" s="52" t="str">
        <x:v>改变一个热区或先取出占热食材。</x:v>
      </x:c>
      <x:c r="J41" s="52" t="str">
        <x:v>在31的下料、推进熟度、取菜循环里检验热区差异。</x:v>
      </x:c>
      <x:c r="K41" s="52" t="str">
        <x:v>最多一种新热区，不加入连续温度曲线和真实等待。</x:v>
      </x:c>
      <x:c r="L41" s="52" t="str">
        <x:v>换热区让玩家改变出锅顺序；只缩短成熟回合而不改决策则不加入。</x:v>
      </x:c>
      <x:c r="M41" s="52" t="str">
        <x:v>备选</x:v>
      </x:c>
      <x:c r="N41" s="52" t="str">
        <x:v>食物释放的热量与蒸汽影响邻盘，出炉时间也成为构筑资源</x:v>
      </x:c>
      <x:c r="O41" s="52" t="str">
        <x:v>烤箱时间差</x:v>
      </x:c>
      <x:c r="P41" s="72" t="n">
        <x:v>31</x:v>
      </x:c>
    </x:row>
    <x:row r="42" ht="45" customHeight="1">
      <x:c r="A42" s="61" t="n">
        <x:v>36</x:v>
      </x:c>
      <x:c r="B42" s="59" t="str">
        <x:v>刀工无限</x:v>
      </x:c>
      <x:c r="C42" s="55" t="str">
        <x:v>合并</x:v>
      </x:c>
      <x:c r="D42" s="55" t="str">
        <x:v>合并</x:v>
      </x:c>
      <x:c r="E42" s="65" t="n">
        <x:v>31</x:v>
      </x:c>
      <x:c r="F42" s="53" t="str">
        <x:v>31 火锅连锁局（主候选）</x:v>
      </x:c>
      <x:c r="G42" s="53" t="str">
        <x:v>切碎增加触发天然容易变成越碎越好；完整度奖励若只是补一个倍率，依然主要比较数值。</x:v>
      </x:c>
      <x:c r="H42" s="53" t="str">
        <x:v>把切分做成31的有限工具：小块增加邻接与订单数量，但占更多锅格、耗更多捞取行动，完整份满足另一类客人。</x:v>
      </x:c>
      <x:c r="I42" s="53" t="str">
        <x:v>决定某块食材整下还是切成两块。</x:v>
      </x:c>
      <x:c r="J42" s="53" t="str">
        <x:v>在31的空间、熟度和订单之间交换份数与行动效率。</x:v>
      </x:c>
      <x:c r="K42" s="53" t="str">
        <x:v>仅允许一分为二，不制作任意刀工、几十碎片与真实切割。</x:v>
      </x:c>
      <x:c r="L42" s="53" t="str">
        <x:v>玩家在不同锅位和订单下会选择整份或切分，能说出空间和行动成本；否则取消工具。</x:v>
      </x:c>
      <x:c r="M42" s="53" t="str">
        <x:v>备选</x:v>
      </x:c>
      <x:c r="N42" s="53" t="str">
        <x:v>切开不增加食材总量，却增加入口触发次数，也会失去完整食材奖励</x:v>
      </x:c>
      <x:c r="O42" s="53" t="str">
        <x:v>刀工无限</x:v>
      </x:c>
      <x:c r="P42" s="73" t="n">
        <x:v>31</x:v>
      </x:c>
    </x:row>
    <x:row r="43" ht="45" customHeight="1">
      <x:c r="A43" s="60" t="n">
        <x:v>37</x:v>
      </x:c>
      <x:c r="B43" s="58" t="str">
        <x:v>冰箱时间仓</x:v>
      </x:c>
      <x:c r="C43" s="54" t="str">
        <x:v>暂缓</x:v>
      </x:c>
      <x:c r="D43" s="54" t="str">
        <x:v>暂缓</x:v>
      </x:c>
      <x:c r="E43" s="64"/>
      <x:c r="F43" s="52" t="str"/>
      <x:c r="G43" s="52" t="str">
        <x:v>冷藏与成熟提供时间规划，但任意快慢时间和标签继承不属于熟悉规则；没有明确订单期限就只是等自动增值。</x:v>
      </x:c>
      <x:c r="H43" s="52" t="str">
        <x:v>先将时间离散为每次取放推进一格，提供公开交货时间；冷藏保留品质但停止增值，转化仅采用固定可见路线。</x:v>
      </x:c>
      <x:c r="I43" s="52" t="str">
        <x:v>移动一件食材到温区或提前出售。</x:v>
      </x:c>
      <x:c r="J43" s="52" t="str">
        <x:v>看到期限→分配温区→每次取放推进全局→交货回款→下轮订单与库存冲突。</x:v>
      </x:c>
      <x:c r="K43" s="52" t="str">
        <x:v>两个温区、三条转化路径、无离线计时，不接完整烹饪系统。</x:v>
      </x:c>
      <x:c r="L43" s="52" t="str">
        <x:v>同一成熟品有立即卖和延后卖的不同理由；玩家能在行动前说出哪些库存会变质或过熟。</x:v>
      </x:c>
      <x:c r="M43" s="52" t="str">
        <x:v>备选</x:v>
      </x:c>
      <x:c r="N43" s="52" t="str">
        <x:v>不同温区拥有不同时间速度，食材转化后可继承旧标签</x:v>
      </x:c>
      <x:c r="O43" s="52" t="str">
        <x:v>冰箱时间仓</x:v>
      </x:c>
      <x:c r="P43" s="72"/>
    </x:row>
    <x:row r="44" ht="57.75" customHeight="1">
      <x:c r="A44" s="61" t="n">
        <x:v>38</x:v>
      </x:c>
      <x:c r="B44" s="59" t="str">
        <x:v>饺子兵工厂</x:v>
      </x:c>
      <x:c r="C44" s="55" t="str">
        <x:v>移出</x:v>
      </x:c>
      <x:c r="D44" s="55" t="str">
        <x:v>移出</x:v>
      </x:c>
      <x:c r="E44" s="65"/>
      <x:c r="F44" s="53" t="str"/>
      <x:c r="G44" s="53" t="str">
        <x:v>褶数控制触发和破皮分裂缺乏生活因果支撑，馅料、褶数、皮厚同时提高隐形信息量；三个小料理的需求仍是预制答案。</x:v>
      </x:c>
      <x:c r="H44" s="53" t="str">
        <x:v>移出独立项目；如需包馅表现，只给31增加一个内部内容明确的食材，不保留兵工厂叙事。</x:v>
      </x:c>
      <x:c r="I44" s="53" t="str">
        <x:v>有限原料包成一个可见分区物件。</x:v>
      </x:c>
      <x:c r="J44" s="53" t="str">
        <x:v>当前没有独立于其他做菜组合的循环，先不扩展。</x:v>
      </x:c>
      <x:c r="K44" s="53" t="str">
        <x:v>停止褶子编辑、内部切面模拟和生成多料理。</x:v>
      </x:c>
      <x:c r="L44" s="53" t="str">
        <x:v>玩家仅看外观即可预测内部触发，并出现不同包法适合不同局面，才重新考虑。</x:v>
      </x:c>
      <x:c r="M44" s="53" t="str">
        <x:v>备选</x:v>
      </x:c>
      <x:c r="N44" s="53" t="str">
        <x:v>褶数和馅料分区决定吃到时的触发顺序，破皮也有可利用效果</x:v>
      </x:c>
      <x:c r="O44" s="53" t="str">
        <x:v>饺子兵工厂</x:v>
      </x:c>
      <x:c r="P44" s="73"/>
    </x:row>
    <x:row r="45" ht="45" customHeight="1">
      <x:c r="A45" s="60" t="n">
        <x:v>39</x:v>
      </x:c>
      <x:c r="B45" s="58" t="str">
        <x:v>调酒元素塔</x:v>
      </x:c>
      <x:c r="C45" s="54" t="str">
        <x:v>重构</x:v>
      </x:c>
      <x:c r="D45" s="54" t="str">
        <x:v>机制储备</x:v>
      </x:c>
      <x:c r="E45" s="64"/>
      <x:c r="F45" s="52" t="str"/>
      <x:c r="G45" s="52" t="str">
        <x:v>混合与分层有真实的互斥关系，但颜色放大若只是任意配方，会变成背表；需要有限共享规则支撑组合。</x:v>
      </x:c>
      <x:c r="H45" s="52" t="str">
        <x:v>只用两种口味强度与温度，分层保留顺序、摇匀共享效果但抹去顺序奖励；每轮公开不同顾客需求。</x:v>
      </x:c>
      <x:c r="I45" s="52" t="str">
        <x:v>加一份料、搅拌或直接交杯。</x:v>
      </x:c>
      <x:c r="J45" s="52" t="str">
        <x:v>随机给料→选择分层或混合→有限步骤内交付→购买杯具或保留资金→需求变化。</x:v>
      </x:c>
      <x:c r="K45" s="52" t="str">
        <x:v>三个原料类型、两种杯子、三个统一交互；不做上百配方和语义味道判断。</x:v>
      </x:c>
      <x:c r="L45" s="52" t="str">
        <x:v>玩家可用未见过的原料组合预测结果；同配料在不同需求下选择不同做法，而非查表找唯一配方。</x:v>
      </x:c>
      <x:c r="M45" s="52" t="str">
        <x:v>备选</x:v>
      </x:c>
      <x:c r="N45" s="52" t="str">
        <x:v>摇匀与分层是两种相反策略，颜色标签可相互中和或放大</x:v>
      </x:c>
      <x:c r="O45" s="52" t="str">
        <x:v>调酒元素塔</x:v>
      </x:c>
      <x:c r="P45" s="72"/>
    </x:row>
    <x:row r="46" ht="45" customHeight="1">
      <x:c r="A46" s="61" t="n">
        <x:v>40</x:v>
      </x:c>
      <x:c r="B46" s="59" t="str">
        <x:v>早餐摊连单王</x:v>
      </x:c>
      <x:c r="C46" s="55" t="str">
        <x:v>合并</x:v>
      </x:c>
      <x:c r="D46" s="55" t="str">
        <x:v>合并</x:v>
      </x:c>
      <x:c r="E46" s="65" t="n">
        <x:v>32</x:v>
      </x:c>
      <x:c r="F46" s="53" t="str">
        <x:v>32 回转寿司工坊（主候选）</x:v>
      </x:c>
      <x:c r="G46" s="53" t="str">
        <x:v>做完订单改造下张订单是一种需求推进模块，另加煎锅与手动打包会引入经营动作负担，没有独立构筑必要。</x:v>
      </x:c>
      <x:c r="H46" s="53" t="str">
        <x:v>把已交付餐品影响后续客流作为32的公开奖励分支；删除订单凭空改字，改成明确的熟客推荐。</x:v>
      </x:c>
      <x:c r="I46" s="53" t="str">
        <x:v>决定先服务哪类顾客，换取不同下一批需求。</x:v>
      </x:c>
      <x:c r="J46" s="53" t="str">
        <x:v>32交付→选择一类推荐客流→有限预告改变下一轮投产。</x:v>
      </x:c>
      <x:c r="K46" s="53" t="str">
        <x:v>两类客流影响，不新增煎蛋、走位和打包操作。</x:v>
      </x:c>
      <x:c r="L46" s="53" t="str">
        <x:v>玩家因未来客流而改变当前交付顺序；若只把奖励名字改成订单则不保留。</x:v>
      </x:c>
      <x:c r="M46" s="53" t="str">
        <x:v>备选</x:v>
      </x:c>
      <x:c r="N46" s="53" t="str">
        <x:v>完成某类订单会改造下一张订单，连续出餐形成资源循环</x:v>
      </x:c>
      <x:c r="O46" s="53" t="str">
        <x:v>早餐摊连单王</x:v>
      </x:c>
      <x:c r="P46" s="73" t="n">
        <x:v>32</x:v>
      </x:c>
    </x:row>
    <x:row r="47" ht="57.75" customHeight="1">
      <x:c r="A47" s="60" t="n">
        <x:v>41</x:v>
      </x:c>
      <x:c r="B47" s="58" t="str">
        <x:v>小票炼金术</x:v>
      </x:c>
      <x:c r="C47" s="54" t="str">
        <x:v>合并</x:v>
      </x:c>
      <x:c r="D47" s="54" t="str">
        <x:v>合并</x:v>
      </x:c>
      <x:c r="E47" s="64" t="n">
        <x:v>50</x:v>
      </x:c>
      <x:c r="F47" s="52" t="str">
        <x:v>50 一平方米夜市（主候选）</x:v>
      </x:c>
      <x:c r="G47" s="52" t="str">
        <x:v>当前主要是有限预算采购优化，小票顺序并非熟悉促销规则；任意改标签又制造隐形算式，单靠叠折扣不足以证明独立游戏。</x:v>
      </x:c>
      <x:c r="H47" s="52" t="str">
        <x:v>降为50的进货商店：保留透明凑单、有限券槽与买材料还是留现金，删除小票逐行排序、任意商品改类和乘数爆表。</x:v>
      </x:c>
      <x:c r="I47" s="52" t="str">
        <x:v>在即时总价预览中选采购组合并结账。</x:v>
      </x:c>
      <x:c r="J47" s="52" t="str">
        <x:v>预告客流→判断缺料→采购或留钱→经营结果验证→下批需求改变购物篮。</x:v>
      </x:c>
      <x:c r="K47" s="52" t="str">
        <x:v>两个券槽、三种明确促销、少量商品；优惠总额自动显示，不要求手算多层规则。</x:v>
      </x:c>
      <x:c r="L47" s="52" t="str">
        <x:v>玩家因经营缺口而放弃更低单价，能解释本次为何不凑满减；去掉该模块时主循环仍完整。</x:v>
      </x:c>
      <x:c r="M47" s="52" t="str">
        <x:v>首轮候选</x:v>
      </x:c>
      <x:c r="N47" s="52" t="str">
        <x:v>商品标签能改变，优惠按小票次序触发，一件商品可参与多组条件</x:v>
      </x:c>
      <x:c r="O47" s="52" t="str">
        <x:v>小票炼金术</x:v>
      </x:c>
      <x:c r="P47" s="72" t="n">
        <x:v>50</x:v>
      </x:c>
    </x:row>
    <x:row r="48" ht="45" customHeight="1">
      <x:c r="A48" s="61" t="n">
        <x:v>42</x:v>
      </x:c>
      <x:c r="B48" s="59" t="str">
        <x:v>砍价拍卖会</x:v>
      </x:c>
      <x:c r="C48" s="55" t="str">
        <x:v>暂缓</x:v>
      </x:c>
      <x:c r="D48" s="55" t="str">
        <x:v>暂缓</x:v>
      </x:c>
      <x:c r="E48" s="65"/>
      <x:c r="F48" s="53" t="str"/>
      <x:c r="G48" s="53" t="str">
        <x:v>物品拆解换购可以形成资源流，但估价、拍卖AI和物品用途是三套不确定性；旧表拆零件也可能只是预写兑换表。</x:v>
      </x:c>
      <x:c r="H48" s="53" t="str">
        <x:v>先公开竞拍者预算与两类偏好，只保留整件转售和拆件交付的互斥选择，不做隐蔽价格推理。</x:v>
      </x:c>
      <x:c r="I48" s="53" t="str">
        <x:v>选择是否出价，成交后决定拆件还是转售。</x:v>
      </x:c>
      <x:c r="J48" s="53" t="str">
        <x:v>有限资金→竞拍→满足公开需求或保留库存→利润购买一次鉴定/拆解资源。</x:v>
      </x:c>
      <x:c r="K48" s="53" t="str">
        <x:v>四类物品接口、两个对手模式、固定需求类型，不做自然语言砍价。</x:v>
      </x:c>
      <x:c r="L48" s="53" t="str">
        <x:v>玩家在同价物品间因组合需求作不同选择；若胜负主要来自猜价格则不作为构筑原型。</x:v>
      </x:c>
      <x:c r="M48" s="53" t="str">
        <x:v>备选</x:v>
      </x:c>
      <x:c r="N48" s="53" t="str">
        <x:v>买到的物品也能变成下一场的叫价筹码，卖家偏好改变交换价值</x:v>
      </x:c>
      <x:c r="O48" s="53" t="str">
        <x:v>砍价拍卖会</x:v>
      </x:c>
      <x:c r="P48" s="73"/>
    </x:row>
    <x:row r="49" ht="45" customHeight="1">
      <x:c r="A49" s="60" t="n">
        <x:v>43</x:v>
      </x:c>
      <x:c r="B49" s="58" t="str">
        <x:v>货架吸客阵</x:v>
      </x:c>
      <x:c r="C49" s="54" t="str">
        <x:v>合并</x:v>
      </x:c>
      <x:c r="D49" s="54" t="str">
        <x:v>合并</x:v>
      </x:c>
      <x:c r="E49" s="64" t="n">
        <x:v>50</x:v>
      </x:c>
      <x:c r="F49" s="52" t="str">
        <x:v>50 一平方米夜市（主候选）</x:v>
      </x:c>
      <x:c r="G49" s="52" t="str">
        <x:v>吸引路线、邻接消费和兴趣变化与50的摊位组合属于同一店面规划层，没必要维护两套商品和顾客系统。</x:v>
      </x:c>
      <x:c r="H49" s="52" t="str">
        <x:v>将试吃、互补消费作为50的少量摊位效果；顾客路线必须明确可预览，删除隐藏偏好分。</x:v>
      </x:c>
      <x:c r="I49" s="52" t="str">
        <x:v>摆一处吸引点，观察它改变哪段客流。</x:v>
      </x:c>
      <x:c r="J49" s="52" t="str">
        <x:v>共用50的预告客流、重排摊位、营业兑现与补货循环。</x:v>
      </x:c>
      <x:c r="K49" s="52" t="str">
        <x:v>一类试吃设施与两条明确偏好边；不扩展商场内自主逛街AI。</x:v>
      </x:c>
      <x:c r="L49" s="52" t="str">
        <x:v>试吃会同时增加某区收入并造成另一处拥堵或消耗；无代价提升全店收入则不加入。</x:v>
      </x:c>
      <x:c r="M49" s="52" t="str">
        <x:v>备选</x:v>
      </x:c>
      <x:c r="N49" s="52" t="str">
        <x:v>顾客路线受标签吸引，货架位置决定连续购买和兴趣变化</x:v>
      </x:c>
      <x:c r="O49" s="52" t="str">
        <x:v>货架吸客阵</x:v>
      </x:c>
      <x:c r="P49" s="72" t="n">
        <x:v>50</x:v>
      </x:c>
    </x:row>
    <x:row r="50" ht="45" customHeight="1">
      <x:c r="A50" s="61" t="n">
        <x:v>44</x:v>
      </x:c>
      <x:c r="B50" s="59" t="str">
        <x:v>汽水贩卖机</x:v>
      </x:c>
      <x:c r="C50" s="55" t="str">
        <x:v>合并</x:v>
      </x:c>
      <x:c r="D50" s="55" t="str">
        <x:v>合并</x:v>
      </x:c>
      <x:c r="E50" s="65" t="n">
        <x:v>12</x:v>
      </x:c>
      <x:c r="F50" s="53" t="str">
        <x:v>12 弹珠轨道工厂（机制储备）</x:v>
      </x:c>
      <x:c r="G50" s="53" t="str">
        <x:v>硬币落下、货道连锁与12同属节点加工和物理路由；汽水爆喷容易把交互扩成无法预测的化学奇观。</x:v>
      </x:c>
      <x:c r="H50" s="53" t="str">
        <x:v>只把一次性出货托盘作为12的可选交货节点，取消真实汽水流体与薄荷反应链。</x:v>
      </x:c>
      <x:c r="I50" s="53" t="str">
        <x:v>决定是否打落托盘兑现，或留作下一颗弹珠的支点。</x:v>
      </x:c>
      <x:c r="J50" s="53" t="str">
        <x:v>共用12的有限发射、改变路线、交付订单循环。</x:v>
      </x:c>
      <x:c r="K50" s="53" t="str">
        <x:v>一个可消耗节点和确定弹跳，不独立模拟贩卖机内部全部结构。</x:v>
      </x:c>
      <x:c r="L50" s="53" t="str">
        <x:v>留下托盘与打落托盘分别在两种局面占优；只增加落物特效则不加入。</x:v>
      </x:c>
      <x:c r="M50" s="53" t="str">
        <x:v>备选</x:v>
      </x:c>
      <x:c r="N50" s="53" t="str">
        <x:v>硬币成为实体弹珠，落下的商品又会触发其他货道</x:v>
      </x:c>
      <x:c r="O50" s="53" t="str">
        <x:v>汽水贩卖机</x:v>
      </x:c>
      <x:c r="P50" s="73" t="n">
        <x:v>12</x:v>
      </x:c>
    </x:row>
    <x:row r="51" ht="45" customHeight="1">
      <x:c r="A51" s="60" t="n">
        <x:v>45</x:v>
      </x:c>
      <x:c r="B51" s="58" t="str">
        <x:v>拆箱连锁</x:v>
      </x:c>
      <x:c r="C51" s="54" t="str">
        <x:v>重构</x:v>
      </x:c>
      <x:c r="D51" s="54" t="str">
        <x:v>机制储备</x:v>
      </x:c>
      <x:c r="E51" s="64"/>
      <x:c r="F51" s="52" t="str"/>
      <x:c r="G51" s="52" t="str">
        <x:v>包装回收有自然资源意义，但六箱封条拉索依赖特制箱体；任意刀切和连锁拆包会把内容成本藏进物理系统。</x:v>
      </x:c>
      <x:c r="H51" s="52" t="str">
        <x:v>改为固定箱型的分层拆解；剪开快但损失包装回收，解带慢却拿到下一箱可用工具，部分内容提前透视。</x:v>
      </x:c>
      <x:c r="I51" s="52" t="str">
        <x:v>选一个封口及拆法，再决定卖料还是留下。</x:v>
      </x:c>
      <x:c r="J51" s="52" t="str">
        <x:v>知道部分箱内目标→有限工具拆解→回收材料或完成订单→新包装改变工具需求。</x:v>
      </x:c>
      <x:c r="K51" s="52" t="str">
        <x:v>三种箱型、三种工具、离散封口节点；不做自由切割软体包装。</x:v>
      </x:c>
      <x:c r="L51" s="52" t="str">
        <x:v>同一工具在两个箱型上产生不同机会成本，玩家能预测本次拆法将损失什么；只为未知奖励点开箱则失败。</x:v>
      </x:c>
      <x:c r="M51" s="52" t="str">
        <x:v>备选</x:v>
      </x:c>
      <x:c r="N51" s="52" t="str">
        <x:v>包装既是阻碍也是下轮工具，拆法决定保留哪些部件</x:v>
      </x:c>
      <x:c r="O51" s="52" t="str">
        <x:v>拆箱连锁</x:v>
      </x:c>
      <x:c r="P51" s="72"/>
    </x:row>
    <x:row r="52" ht="57.75" customHeight="1">
      <x:c r="A52" s="61" t="n">
        <x:v>46</x:v>
      </x:c>
      <x:c r="B52" s="59" t="str">
        <x:v>旧货拼装行</x:v>
      </x:c>
      <x:c r="C52" s="55" t="str">
        <x:v>重构</x:v>
      </x:c>
      <x:c r="D52" s="55" t="str">
        <x:v>机制储备</x:v>
      </x:c>
      <x:c r="E52" s="65"/>
      <x:c r="F52" s="53" t="str"/>
      <x:c r="G52" s="53" t="str">
        <x:v>把缺陷转成用途有潜力，但每件旧货都需要特制笑点和功能时会失控；按接口拼装也可能只剩程序连线。</x:v>
      </x:c>
      <x:c r="H52" s="53" t="str">
        <x:v>限定为接水、送风、转动三种可见输出与统一接口；保留漏、堵、慢三类缺陷，要求同一缺陷在不同订单中有利有弊。</x:v>
      </x:c>
      <x:c r="I52" s="53" t="str">
        <x:v>拆一个模块或把它接到另一个接口，再按按钮短测。</x:v>
      </x:c>
      <x:c r="J52" s="53" t="str">
        <x:v>公开两项需求→购买旧件→改造与测试→出售整机或保留关键模块→新需求改变价值。</x:v>
      </x:c>
      <x:c r="K52" s="53" t="str">
        <x:v>固定工作台、六个部件、三类输出；不承诺任意日用品自由发明。</x:v>
      </x:c>
      <x:c r="L52" s="53" t="str">
        <x:v>未专门编写的部件组合仍能按同一规则工作；玩家能把本轮废件用于另一订单，才进入主动池。</x:v>
      </x:c>
      <x:c r="M52" s="53" t="str">
        <x:v>备选</x:v>
      </x:c>
      <x:c r="N52" s="53" t="str">
        <x:v>缺陷可转移到别的物件，修补后留下独特能力与代价</x:v>
      </x:c>
      <x:c r="O52" s="53" t="str">
        <x:v>旧货拼装行</x:v>
      </x:c>
      <x:c r="P52" s="73"/>
    </x:row>
    <x:row r="53" ht="45" customHeight="1">
      <x:c r="A53" s="60" t="n">
        <x:v>47</x:v>
      </x:c>
      <x:c r="B53" s="58" t="str">
        <x:v>硬币接龙</x:v>
      </x:c>
      <x:c r="C53" s="54" t="str">
        <x:v>重构</x:v>
      </x:c>
      <x:c r="D53" s="54" t="str">
        <x:v>机制储备</x:v>
      </x:c>
      <x:c r="E53" s="64"/>
      <x:c r="F53" s="52" t="str"/>
      <x:c r="G53" s="52" t="str">
        <x:v>拆币增触发再合币继承，若没有真实损失就是刷循环；面值与效果叠加还会同时要求找零计算和构筑阅读。</x:v>
      </x:c>
      <x:c r="H53" s="52" t="str">
        <x:v>面值始终守恒，拆合消耗工具次数，合并只保留一个选定效果；订单要求不同支付结构，而非单纯总额更高。</x:v>
      </x:c>
      <x:c r="I53" s="52" t="str">
        <x:v>选择用哪组硬币找零，或消耗一次工具拆合。</x:v>
      </x:c>
      <x:c r="J53" s="52" t="str">
        <x:v>公开付款要求→分配钱槽与币效果→结算后选择回收一种币→下一客户改变需求。</x:v>
      </x:c>
      <x:c r="K53" s="52" t="str">
        <x:v>三种面值、四个钱槽、两类币效果；自动验证金额，不设计套利无限产币。</x:v>
      </x:c>
      <x:c r="L53" s="52" t="str">
        <x:v>同金额能用两种组合完成且各有未来代价；玩家不会每次机械拆尽再合尽，才继续开发。</x:v>
      </x:c>
      <x:c r="M53" s="52" t="str">
        <x:v>备选</x:v>
      </x:c>
      <x:c r="N53" s="52" t="str">
        <x:v>拆成小币增加触发次数，合成大币可继承能力，但钱槽有限</x:v>
      </x:c>
      <x:c r="O53" s="52" t="str">
        <x:v>硬币接龙</x:v>
      </x:c>
      <x:c r="P53" s="72"/>
    </x:row>
    <x:row r="54" ht="57.75" customHeight="1">
      <x:c r="A54" s="61" t="n">
        <x:v>48</x:v>
      </x:c>
      <x:c r="B54" s="59" t="str">
        <x:v>购物车漂移</x:v>
      </x:c>
      <x:c r="C54" s="55" t="str">
        <x:v>暂缓</x:v>
      </x:c>
      <x:c r="D54" s="55" t="str">
        <x:v>暂缓</x:v>
      </x:c>
      <x:c r="E54" s="65"/>
      <x:c r="F54" s="53" t="str"/>
      <x:c r="G54" s="53" t="str">
        <x:v>载重影响漂移是可观察反转，但驾驶手感和货物机关需大量调试；现案没有解释保留贵货与使用武器之间的目标冲突。</x:v>
      </x:c>
      <x:c r="H54" s="53" t="str">
        <x:v>固定短跑道，货物既计交货分又占重心，消耗会减重但失去订单收益；先不做完整商场。</x:v>
      </x:c>
      <x:c r="I54" s="53" t="str">
        <x:v>推车转弯并选择是否抛出一件货减重。</x:v>
      </x:c>
      <x:c r="J54" s="53" t="str">
        <x:v>选任务→沿固定路线拿货→装载影响操控→限时交货→改轮子或增加篮格。</x:v>
      </x:c>
      <x:c r="K54" s="53" t="str">
        <x:v>单一操控模型、三件货、一个环形场景；无多人碰撞和大规模破坏。</x:v>
      </x:c>
      <x:c r="L54" s="53" t="str">
        <x:v>玩家能感到具体货位造成的转向差异，且主动少拿或扔货能改善总结果；只是特效喷射不通过。</x:v>
      </x:c>
      <x:c r="M54" s="53" t="str">
        <x:v>备选</x:v>
      </x:c>
      <x:c r="N54" s="53" t="str">
        <x:v>购物车装载位置改变转弯和碰撞，货物还能作为一次性机关</x:v>
      </x:c>
      <x:c r="O54" s="53" t="str">
        <x:v>购物车漂移</x:v>
      </x:c>
      <x:c r="P54" s="73"/>
    </x:row>
    <x:row r="55" ht="45" customHeight="1">
      <x:c r="A55" s="60" t="n">
        <x:v>49</x:v>
      </x:c>
      <x:c r="B55" s="58" t="str">
        <x:v>街坊交换王</x:v>
      </x:c>
      <x:c r="C55" s="54" t="str">
        <x:v>合并</x:v>
      </x:c>
      <x:c r="D55" s="54" t="str">
        <x:v>合并</x:v>
      </x:c>
      <x:c r="E55" s="64" t="n">
        <x:v>46</x:v>
      </x:c>
      <x:c r="F55" s="52" t="str">
        <x:v>46 旧货拼装行（机制储备）</x:v>
      </x:c>
      <x:c r="G55" s="52" t="str">
        <x:v>职业服务改物品标签与46的改造—交付是同一需求验证，加入整条街人物会扩成大量对话与兑换内容。</x:v>
      </x:c>
      <x:c r="H55" s="52" t="str">
        <x:v>把街坊服务做成46的两个公开外包选项：花现金换加工，或保留资金自己改；不写多步固定兑换链。</x:v>
      </x:c>
      <x:c r="I55" s="52" t="str">
        <x:v>决定支付服务费还是用已有零件处理。</x:v>
      </x:c>
      <x:c r="J55" s="52" t="str">
        <x:v>共用46的需求、购件、改造、出售循环，外包只改变资源取舍。</x:v>
      </x:c>
      <x:c r="K55" s="52" t="str">
        <x:v>两个服务、固定价格与明确效果，不做自然语言协商或人脉养成。</x:v>
      </x:c>
      <x:c r="L55" s="52" t="str">
        <x:v>同一服务在不同库存下有人用也有人不用；若总能沿固定路线换到最贵物则删除。</x:v>
      </x:c>
      <x:c r="M55" s="52" t="str">
        <x:v>备选</x:v>
      </x:c>
      <x:c r="N55" s="52" t="str">
        <x:v>职业服务可以改变物品标签，不同人的需求组成可变化的交换链</x:v>
      </x:c>
      <x:c r="O55" s="52" t="str">
        <x:v>街坊交换王</x:v>
      </x:c>
      <x:c r="P55" s="72" t="n">
        <x:v>46</x:v>
      </x:c>
    </x:row>
    <x:row r="56" ht="45" customHeight="1">
      <x:c r="A56" s="61" t="n">
        <x:v>50</x:v>
      </x:c>
      <x:c r="B56" s="59" t="str">
        <x:v>一平方米夜市</x:v>
      </x:c>
      <x:c r="C56" s="55" t="str">
        <x:v>保留深化</x:v>
      </x:c>
      <x:c r="D56" s="55" t="str">
        <x:v>主候选池</x:v>
      </x:c>
      <x:c r="E56" s="65"/>
      <x:c r="F56" s="53" t="str"/>
      <x:c r="G56" s="53" t="str">
        <x:v>小面积摊位与共同设施能让邻接产生互补，也能带来烟、排队和空间冲突；一个经营结算即可观察结果。</x:v>
      </x:c>
      <x:c r="H56" s="53" t="str">
        <x:v>客流分批预告，营业中仅给一次搬摊机会；摊位同时产生需求与副作用，共享设施占位，利润用于补货或扩建。</x:v>
      </x:c>
      <x:c r="I56" s="53" t="str">
        <x:v>摆摊和设施，营业时决定是否搬一次位置。</x:v>
      </x:c>
      <x:c r="J56" s="53" t="str">
        <x:v>看下一批客人→有限采购与排布→短营业验证→分配利润→客流变化迫使重排。</x:v>
      </x:c>
      <x:c r="K56" s="53" t="str">
        <x:v>一屏固定摊位区、四类摊位、两类顾客、一类共享设施；无完整城市、人物关系和自由行走AI。</x:v>
      </x:c>
      <x:c r="L56" s="53" t="str">
        <x:v>同样摊位在不同客流下有不同布局；最佳收入与排队稳定性存在取舍，少一件稀有设施仍有可操作方案。</x:v>
      </x:c>
      <x:c r="M56" s="53" t="str">
        <x:v>备选</x:v>
      </x:c>
      <x:c r="N56" s="53" t="str">
        <x:v>每个摊位既卖货也影响邻摊，有限摊位可随客流重新拼合</x:v>
      </x:c>
      <x:c r="O56" s="53" t="str">
        <x:v>一平方米夜市</x:v>
      </x:c>
      <x:c r="P56" s="73"/>
    </x:row>
    <x:row r="57" ht="73.5" customHeight="1">
      <x:c r="A57" s="60" t="n">
        <x:v>51</x:v>
      </x:c>
      <x:c r="B57" s="58" t="str">
        <x:v>怪物保洁</x:v>
      </x:c>
      <x:c r="C57" s="54" t="str">
        <x:v>重构</x:v>
      </x:c>
      <x:c r="D57" s="54" t="str">
        <x:v>主候选池</x:v>
      </x:c>
      <x:c r="E57" s="64"/>
      <x:c r="F57" s="52" t="str"/>
      <x:c r="G57" s="52" t="str">
        <x:v>吸入再利用具有因果潜力，但火油电怪物战斗与清洁并列会翻倍范围；原清洁电网未证明它在清洁目标中有用。</x:v>
      </x:c>
      <x:c r="H57" s="52" t="str">
        <x:v>干碎屑可吸取并占桶位；滤芯把特定污物转成有限清洁剂；清洁剂提高某种顽渍的去除效率；腾桶与换工具要消耗时间或耐久。</x:v>
      </x:c>
      <x:c r="I57" s="52" t="str">
        <x:v>移动刷头，吸取或清洗，选择保留哪种材料，在合适位置喷出或投入回收。</x:v>
      </x:c>
      <x:c r="J57" s="52" t="str">
        <x:v>观察房间，选择先处理的区域，吸取并存储，转化或出售材料，利用产物清理难点，交付房间并选择下一件工具。</x:v>
      </x:c>
      <x:c r="K57" s="52" t="str">
        <x:v>二维或简单俯视单房间，三类污物，两类可回收材料，两种刷头，一个滤芯。先不做敌人、元素战斗、机器人、真实流体和自由燃烧。</x:v>
      </x:c>
      <x:c r="L57" s="52" t="str">
        <x:v>先关闭升级，仅换房间和桶容量，观察玩家是否选择不同清洁顺序；再加入一个转换滤芯，观察它是否改变吸取位置与出售时机。 停止信号：所有房间都只按最近距离扫完；材料从不影响选择；玩家只有看见升级奖励才愿继续操作。</x:v>
      </x:c>
      <x:c r="M57" s="52" t="str">
        <x:v>首轮候选</x:v>
      </x:c>
      <x:c r="N57" s="52" t="str">
        <x:v>火、油、电等幻想污物可收集，再作为清洁或作战材料喷出</x:v>
      </x:c>
      <x:c r="O57" s="52" t="str">
        <x:v>回收保洁队</x:v>
      </x:c>
      <x:c r="P57" s="72"/>
    </x:row>
    <x:row r="58" ht="45" customHeight="1">
      <x:c r="A58" s="61" t="n">
        <x:v>52</x:v>
      </x:c>
      <x:c r="B58" s="59" t="str">
        <x:v>红袜大作战</x:v>
      </x:c>
      <x:c r="C58" s="55" t="str">
        <x:v>合并</x:v>
      </x:c>
      <x:c r="D58" s="55" t="str">
        <x:v>合并</x:v>
      </x:c>
      <x:c r="E58" s="65" t="n">
        <x:v>55</x:v>
      </x:c>
      <x:c r="F58" s="53" t="str">
        <x:v>55 修补超能力（机制储备）</x:v>
      </x:c>
      <x:c r="G58" s="53" t="str">
        <x:v>串色和缩水是很好的视觉钩子，但火焰套装的收益来自尚未存在的战斗系统；单纯染色本身没有完整重复决策。</x:v>
      </x:c>
      <x:c r="H58" s="53" t="str">
        <x:v>降为55的衣物改造工序：颜色表示明确加工类别，缩水改变补丁形状与覆盖面积；不把红色直接解释成火伤害。</x:v>
      </x:c>
      <x:c r="I58" s="53" t="str">
        <x:v>选择一件衣物是否洗染或缩水，再决定补哪里。</x:v>
      </x:c>
      <x:c r="J58" s="53" t="str">
        <x:v>55的修补任务→有限洗染改尺寸或材质→缝补→同一测试台验证→回收部分材料。</x:v>
      </x:c>
      <x:c r="K58" s="53" t="str">
        <x:v>两种染料、两种耐洗性、一种缩水规则；不做独立洗衣机养成、角色战斗与全桶爆分。</x:v>
      </x:c>
      <x:c r="L58" s="53" t="str">
        <x:v>洗染会帮助某个补丁覆盖，却让另一处需求失效；如果最佳总是全桶同色，该模块立即删除。</x:v>
      </x:c>
      <x:c r="M58" s="53" t="str">
        <x:v>首轮候选</x:v>
      </x:c>
      <x:c r="N58" s="53" t="str">
        <x:v>串色能转移能力，缩水可减少占位，不同材质承受不同洗程</x:v>
      </x:c>
      <x:c r="O58" s="53" t="str">
        <x:v>红袜大作战</x:v>
      </x:c>
      <x:c r="P58" s="73" t="n">
        <x:v>55</x:v>
      </x:c>
    </x:row>
    <x:row r="59" ht="57.75" customHeight="1">
      <x:c r="A59" s="60" t="n">
        <x:v>53</x:v>
      </x:c>
      <x:c r="B59" s="58" t="str">
        <x:v>箱子合不上</x:v>
      </x:c>
      <x:c r="C59" s="54" t="str">
        <x:v>保留深化</x:v>
      </x:c>
      <x:c r="D59" s="54" t="str">
        <x:v>主候选池</x:v>
      </x:c>
      <x:c r="E59" s="64"/>
      <x:c r="F59" s="52" t="str"/>
      <x:c r="G59" s="52" t="str">
        <x:v>关箱统一验证与玩家的收纳经验一致；压缩、夹层和易碎保护可由空间变化表达，容易看见自己的选择如何生效。</x:v>
      </x:c>
      <x:c r="H59" s="52" t="str">
        <x:v>离散压力按列传递，软物变薄、弹簧开夹层、硬物挡压；必需品与额外纪念品争空间，超装可舍弃而不直接整局失败。</x:v>
      </x:c>
      <x:c r="I59" s="52" t="str">
        <x:v>摆一件物品或换夹层，然后按一次关箱。</x:v>
      </x:c>
      <x:c r="J59" s="52" t="str">
        <x:v>下一站给有限物品选择→重排或舍弃→关箱验证→带走成果换升级→新物品改变装法。</x:v>
      </x:c>
      <x:c r="K59" s="52" t="str">
        <x:v>二维格子、三类受压材料与一种易碎标记，固定箱高；不做真实软体挤压。</x:v>
      </x:c>
      <x:c r="L59" s="52" t="str">
        <x:v>玩家第一次关箱前能预报一段压力链；不同必需品促使改变布局，反复开关不能无成本刷收益。</x:v>
      </x:c>
      <x:c r="M59" s="52" t="str">
        <x:v>备选</x:v>
      </x:c>
      <x:c r="N59" s="52" t="str">
        <x:v>关箱压力逐层触发压缩、弹簧与夹层，合上才统一验证布局</x:v>
      </x:c>
      <x:c r="O59" s="52" t="str">
        <x:v>箱子合不上</x:v>
      </x:c>
      <x:c r="P59" s="72"/>
    </x:row>
    <x:row r="60" ht="45" customHeight="1">
      <x:c r="A60" s="61" t="n">
        <x:v>54</x:v>
      </x:c>
      <x:c r="B60" s="59" t="str">
        <x:v>衣柜套装术</x:v>
      </x:c>
      <x:c r="C60" s="55" t="str">
        <x:v>合并</x:v>
      </x:c>
      <x:c r="D60" s="55" t="str">
        <x:v>合并</x:v>
      </x:c>
      <x:c r="E60" s="65" t="n">
        <x:v>55</x:v>
      </x:c>
      <x:c r="F60" s="53" t="str">
        <x:v>55 修补超能力（机制储备）</x:v>
      </x:c>
      <x:c r="G60" s="53" t="str">
        <x:v>衣物接口和套装冲突与55共享同一组对象；另做角色行动会让试衣、战斗、动作生成变成独立工作量。</x:v>
      </x:c>
      <x:c r="H60" s="53" t="str">
        <x:v>仅作为55的整件选择层：选旧衣决定破洞、接口和覆盖要求，不设计额外职业与动作系统。</x:v>
      </x:c>
      <x:c r="I60" s="53" t="str">
        <x:v>挑一件待修衣物，并选择保留旧材质还是拆解。</x:v>
      </x:c>
      <x:c r="J60" s="53" t="str">
        <x:v>55的选衣、洗染、缝补、标准测试统一验证，避免搭配和修补各算一次分。</x:v>
      </x:c>
      <x:c r="K60" s="53" t="str">
        <x:v>两种衣物模板，不另做衣柜系统、角色换装战斗和动态布料。</x:v>
      </x:c>
      <x:c r="L60" s="53" t="str">
        <x:v>衣物差异确实改变补丁安排，不能只改变套装数字；无法从外观读出区别就停止增加模板。</x:v>
      </x:c>
      <x:c r="M60" s="53" t="str">
        <x:v>备选</x:v>
      </x:c>
      <x:c r="N60" s="53" t="str">
        <x:v>衣物各部位有技能接口，搭配顺序改变角色的行动方式</x:v>
      </x:c>
      <x:c r="O60" s="53" t="str">
        <x:v>衣柜套装术</x:v>
      </x:c>
      <x:c r="P60" s="73" t="n">
        <x:v>55</x:v>
      </x:c>
    </x:row>
    <x:row r="61" ht="57.75" customHeight="1">
      <x:c r="A61" s="60" t="n">
        <x:v>55</x:v>
      </x:c>
      <x:c r="B61" s="58" t="str">
        <x:v>修补超能力</x:v>
      </x:c>
      <x:c r="C61" s="54" t="str">
        <x:v>重构</x:v>
      </x:c>
      <x:c r="D61" s="54" t="str">
        <x:v>机制储备</x:v>
      </x:c>
      <x:c r="E61" s="64"/>
      <x:c r="F61" s="52" t="str"/>
      <x:c r="G61" s="52" t="str">
        <x:v>破洞成为插槽、针脚形成连接具备可见结构，但放火或弹跳需要额外角色游戏才能证明价值；必须先统一改造目标。</x:v>
      </x:c>
      <x:c r="H61" s="52" t="str">
        <x:v>整组改成单工作台衣物改造：订单只有覆盖、防水、耐磨等有限可见测试，针脚共享有限加固材料；52与54只提供前置改造选择。</x:v>
      </x:c>
      <x:c r="I61" s="52" t="str">
        <x:v>选补丁、缝一段线，再运行一次短测试。</x:v>
      </x:c>
      <x:c r="J61" s="52" t="str">
        <x:v>公开两项穿用要求→买料或拆旧衣→洗染/缝补的有限行动→测试交付→保留工具和余料进入下一单。</x:v>
      </x:c>
      <x:c r="K61" s="52" t="str">
        <x:v>两种衣服模板、三类补丁、两个固定测试；不做真人动作、技能战斗或复杂布料。</x:v>
      </x:c>
      <x:c r="L61" s="52" t="str">
        <x:v>同一补丁因破洞位置和订单变化有不同用法；新增洗染提升了取舍但不要求额外理解一套数值，才能进入主动池。</x:v>
      </x:c>
      <x:c r="M61" s="52" t="str">
        <x:v>备选</x:v>
      </x:c>
      <x:c r="N61" s="52" t="str">
        <x:v>破损处是能力插槽，针脚把补丁连成触发路径</x:v>
      </x:c>
      <x:c r="O61" s="52" t="str">
        <x:v>修补超能力</x:v>
      </x:c>
      <x:c r="P61" s="72"/>
    </x:row>
    <x:row r="62" ht="57.75" customHeight="1">
      <x:c r="A62" s="61" t="n">
        <x:v>56</x:v>
      </x:c>
      <x:c r="B62" s="59" t="str">
        <x:v>家电共生</x:v>
      </x:c>
      <x:c r="C62" s="55" t="str">
        <x:v>暂缓</x:v>
      </x:c>
      <x:c r="D62" s="55" t="str">
        <x:v>暂缓</x:v>
      </x:c>
      <x:c r="E62" s="65"/>
      <x:c r="F62" s="53" t="str"/>
      <x:c r="G62" s="53" t="str">
        <x:v>副产物利用有系统性，但冷、热、风、水、电全进场会变成能源连线题；热力幻想规则也容易让人误以为按现实推理即可。</x:v>
      </x:c>
      <x:c r="H62" s="53" t="str">
        <x:v>只留电与热两种状态，热通过邻接传递而非全屋管线；每件设备有公开用途与热上限，先证明摆位决策。</x:v>
      </x:c>
      <x:c r="I62" s="53" t="str">
        <x:v>放或移动一台电器，启动一次短工作周期。</x:v>
      </x:c>
      <x:c r="J62" s="53" t="str">
        <x:v>有限电量与任务→排布设备利用废热→短结算→买设备或省电费→新需求改变最佳摆法。</x:v>
      </x:c>
      <x:c r="K62" s="53" t="str">
        <x:v>单屏六个位置、四种设备、两种状态；不接水管、风场、发电循环与复杂效率公式。</x:v>
      </x:c>
      <x:c r="L62" s="53" t="str">
        <x:v>玩家无需画执行流程就能解释热去哪，且新增设备不总是正收益；仍需大量连线阅读则不进入轻量原型池。</x:v>
      </x:c>
      <x:c r="M62" s="53" t="str">
        <x:v>备选</x:v>
      </x:c>
      <x:c r="N62" s="53" t="str">
        <x:v>家电副产物可以成为另一台输入，热、冷、风、水串成资源链</x:v>
      </x:c>
      <x:c r="O62" s="53" t="str">
        <x:v>家电共生</x:v>
      </x:c>
      <x:c r="P62" s="73"/>
    </x:row>
    <x:row r="63" ht="45" customHeight="1">
      <x:c r="A63" s="60" t="n">
        <x:v>57</x:v>
      </x:c>
      <x:c r="B63" s="58" t="str">
        <x:v>冰块清洁队</x:v>
      </x:c>
      <x:c r="C63" s="54" t="str">
        <x:v>合并</x:v>
      </x:c>
      <x:c r="D63" s="54" t="str">
        <x:v>合并</x:v>
      </x:c>
      <x:c r="E63" s="64" t="n">
        <x:v>51</x:v>
      </x:c>
      <x:c r="F63" s="52" t="str">
        <x:v>51 回收保洁队（主候选）</x:v>
      </x:c>
      <x:c r="G63" s="52" t="str">
        <x:v>冻结成块再推走可以成为51的清洁方式，不足以再支持一套独立回收循环；真实裂纹和碎冰模拟不必要。</x:v>
      </x:c>
      <x:c r="H63" s="52" t="str">
        <x:v>作为51后续工具候选：把固定连通污区冻成格块，推走省吸力但耗冷却剂；首轮保洁原型通过后再试。</x:v>
      </x:c>
      <x:c r="I63" s="52" t="str">
        <x:v>选择冻哪片污物，并沿明确方向推出。</x:v>
      </x:c>
      <x:c r="J63" s="52" t="str">
        <x:v>沿用51的容量、清洁率和能耗循环；冷却剂用量与吸取消耗直接比较。</x:v>
      </x:c>
      <x:c r="K63" s="52" t="str">
        <x:v>一类离散冻块，不制作任意裂纹、墙面刮削和碎冰物理。</x:v>
      </x:c>
      <x:c r="L63" s="52" t="str">
        <x:v>冻结在狭长房间有用、在零碎污点上不如普通吸头；不能成为覆盖所有场景的最优清洁。</x:v>
      </x:c>
      <x:c r="M63" s="52" t="str">
        <x:v>备选</x:v>
      </x:c>
      <x:c r="N63" s="52" t="str">
        <x:v>先把污物冻成可推的块，再利用裂纹决定碎裂路线</x:v>
      </x:c>
      <x:c r="O63" s="52" t="str">
        <x:v>冰块清洁队</x:v>
      </x:c>
      <x:c r="P63" s="72" t="n">
        <x:v>51</x:v>
      </x:c>
    </x:row>
    <x:row r="64" ht="45" customHeight="1">
      <x:c r="A64" s="61" t="n">
        <x:v>58</x:v>
      </x:c>
      <x:c r="B64" s="59" t="str">
        <x:v>搬门搬家</x:v>
      </x:c>
      <x:c r="C64" s="55" t="str">
        <x:v>暂缓</x:v>
      </x:c>
      <x:c r="D64" s="55" t="str">
        <x:v>暂缓</x:v>
      </x:c>
      <x:c r="E64" s="65"/>
      <x:c r="F64" s="53" t="str"/>
      <x:c r="G64" s="53" t="str">
        <x:v>可搬门的空间反转很直观，但更像需要专门关卡的空间解谜；路由合法性与可生成局面尚未证明。</x:v>
      </x:c>
      <x:c r="H64" s="53" t="str">
        <x:v>先限定成房间节点图与明确门口格；搬门消耗次数，家具尺寸只分两档，每局同时给两个运输目标。</x:v>
      </x:c>
      <x:c r="I64" s="53" t="str">
        <x:v>拆一扇门并装到另一个合法门口，再搬一件家具。</x:v>
      </x:c>
      <x:c r="J64" s="53" t="str">
        <x:v>看运输目标→分配有限门位→搬运交付→保留一个门组件→下一组房间改变关系。</x:v>
      </x:c>
      <x:c r="K64" s="53" t="str">
        <x:v>固定少量房间、两档家具、无自由三维穿门和任意连通空间。</x:v>
      </x:c>
      <x:c r="L64" s="53" t="str">
        <x:v>两条可行搬运路线在次数和保留门位上存在取舍；如果关卡只有一组正确连门则按解谜产品另评。</x:v>
      </x:c>
      <x:c r="M64" s="53" t="str">
        <x:v>备选</x:v>
      </x:c>
      <x:c r="N64" s="53" t="str">
        <x:v>门可以拆下重新放，改变房间之间的连接</x:v>
      </x:c>
      <x:c r="O64" s="53" t="str">
        <x:v>搬门搬家</x:v>
      </x:c>
      <x:c r="P64" s="73"/>
    </x:row>
    <x:row r="65" ht="45" customHeight="1">
      <x:c r="A65" s="60" t="n">
        <x:v>59</x:v>
      </x:c>
      <x:c r="B65" s="58" t="str">
        <x:v>钥匙串迷宫</x:v>
      </x:c>
      <x:c r="C65" s="54" t="str">
        <x:v>重构</x:v>
      </x:c>
      <x:c r="D65" s="54" t="str">
        <x:v>机制储备</x:v>
      </x:c>
      <x:c r="E65" s="64"/>
      <x:c r="F65" s="52" t="str"/>
      <x:c r="G65" s="52" t="str">
        <x:v>钥匙改变齿形可能产生资源规划，但试钥匙的熟悉动作并不提供构筑深度；钥匙环连锁易变成隐藏状态机。</x:v>
      </x:c>
      <x:c r="H65" s="52" t="str">
        <x:v>锁的需求与开锁后的齿形变化同时显示；允许花有限材料保留旧齿或切新齿，奖励位于可选分支。</x:v>
      </x:c>
      <x:c r="I65" s="52" t="str">
        <x:v>选择开哪把锁，以及是否保留旧齿。</x:v>
      </x:c>
      <x:c r="J65" s="52" t="str">
        <x:v>预告锁路→分配钥匙状态与改齿次数→开门取奖→保留一把或回收材料→新分支改变价值。</x:v>
      </x:c>
      <x:c r="K65" s="52" t="str">
        <x:v>三种齿形、两把钥匙、固定分支图；不做机械锁芯解谜和大量相似颜色匹配。</x:v>
      </x:c>
      <x:c r="L65" s="52" t="str">
        <x:v>玩家能一眼预测开锁后的状态；不同分支让同一钥匙有不同价值，若只是按配对提示点亮门则停止。</x:v>
      </x:c>
      <x:c r="M65" s="52" t="str">
        <x:v>备选</x:v>
      </x:c>
      <x:c r="N65" s="52" t="str">
        <x:v>开锁会改变钥匙的齿形或附带效果，一串钥匙按次序联动</x:v>
      </x:c>
      <x:c r="O65" s="52" t="str">
        <x:v>钥匙串迷宫</x:v>
      </x:c>
      <x:c r="P65" s="72"/>
    </x:row>
    <x:row r="66" ht="45" customHeight="1">
      <x:c r="A66" s="61" t="n">
        <x:v>60</x:v>
      </x:c>
      <x:c r="B66" s="59" t="str">
        <x:v>发型炼金术</x:v>
      </x:c>
      <x:c r="C66" s="55" t="str">
        <x:v>移出</x:v>
      </x:c>
      <x:c r="D66" s="55" t="str">
        <x:v>移出</x:v>
      </x:c>
      <x:c r="E66" s="65"/>
      <x:c r="F66" s="53" t="str"/>
      <x:c r="G66" s="53" t="str">
        <x:v>染发决定剪切分叉并不来自理发常识，发束路径更像连线谜题；有限模板减少成本后也会削弱自由理发的期待。</x:v>
      </x:c>
      <x:c r="H66" s="53" t="str">
        <x:v>移出当前构筑池；若保留，先作为二维理发操作玩具单独验证，不为补构筑增加发丝程序规则。</x:v>
      </x:c>
      <x:c r="I66" s="53" t="str">
        <x:v>梳理并剪一段明确区域。</x:v>
      </x:c>
      <x:c r="J66" s="53" t="str">
        <x:v>当前只定义了一次自动理发演出，没有已经成立的跨轮选择。</x:v>
      </x:c>
      <x:c r="K66" s="53" t="str">
        <x:v>不做全头发丝模拟、任意发型识别和大量染色技能。</x:v>
      </x:c>
      <x:c r="L66" s="53" t="str">
        <x:v>玩家在没有技能文字时仍能预测剪切后果，并主动重复尝试不同剪法，才有重启依据。</x:v>
      </x:c>
      <x:c r="M66" s="53" t="str">
        <x:v>备选</x:v>
      </x:c>
      <x:c r="N66" s="53" t="str">
        <x:v>剪切效果沿发丝方向传播，卷发转弯、染色决定分叉</x:v>
      </x:c>
      <x:c r="O66" s="53" t="str">
        <x:v>发型炼金术</x:v>
      </x:c>
      <x:c r="P66" s="73"/>
    </x:row>
    <x:row r="67" ht="57.75" customHeight="1">
      <x:c r="A67" s="60" t="n">
        <x:v>61</x:v>
      </x:c>
      <x:c r="B67" s="58" t="str">
        <x:v>印章办公室</x:v>
      </x:c>
      <x:c r="C67" s="54" t="str">
        <x:v>暂缓</x:v>
      </x:c>
      <x:c r="D67" s="54" t="str">
        <x:v>暂缓</x:v>
      </x:c>
      <x:c r="E67" s="64"/>
      <x:c r="F67" s="52" t="str"/>
      <x:c r="G67" s="52" t="str">
        <x:v>盖章动作熟悉，复制、分支、合并文件却是程序语法。原案的爽点依赖无现实目的的文件倍增，正确性和吞吐量可能盖过选择乐趣。</x:v>
      </x:c>
      <x:c r="H67" s="52" t="str">
        <x:v>暂不列为大众原型。若重启，删复制与合并，仅保留盖章、覆印、转交；证件目标和印面覆盖直接显示。</x:v>
      </x:c>
      <x:c r="I67" s="52" t="str">
        <x:v>选证件，在有限格位盖一枚完整印章，再决定交付或返工。</x:v>
      </x:c>
      <x:c r="J67" s="52" t="str">
        <x:v>每轮处理三件有明确需求的申请，用有限墨水换取交付收益；把收益用于增加格位或购买新印章，返工消耗资源。</x:v>
      </x:c>
      <x:c r="K67" s="52" t="str">
        <x:v>三类证件、六枚整章、三轮；不做流程编辑器、自由标签或自动分支。</x:v>
      </x:c>
      <x:c r="L67" s="52" t="str">
        <x:v>不使用代码式提示时，玩家能否解释拒件原因，并为同一需求提出两种处理办法；若主要在调试程序则维持暂缓。</x:v>
      </x:c>
      <x:c r="M67" s="52" t="str">
        <x:v>首轮候选</x:v>
      </x:c>
      <x:c r="N67" s="52" t="str">
        <x:v>印章是复制、转化、延迟等指令，审批顺序成为可构筑流程</x:v>
      </x:c>
      <x:c r="O67" s="52" t="str">
        <x:v>印章办公室</x:v>
      </x:c>
      <x:c r="P67" s="72"/>
    </x:row>
    <x:row r="68" ht="45" customHeight="1">
      <x:c r="A68" s="61" t="n">
        <x:v>62</x:v>
      </x:c>
      <x:c r="B68" s="59" t="str">
        <x:v>会议打断王</x:v>
      </x:c>
      <x:c r="C68" s="55" t="str">
        <x:v>移出</x:v>
      </x:c>
      <x:c r="D68" s="55" t="str">
        <x:v>移出</x:v>
      </x:c>
      <x:c r="E68" s="65"/>
      <x:c r="F68" s="53" t="str"/>
      <x:c r="G68" s="53" t="str">
        <x:v>把‘原则性同意’拼成正式通过缺少稳定规则。效果容易依赖作者预写笑话和对真实办公室语境的猜测。</x:v>
      </x:c>
      <x:c r="H68" s="53" t="str">
        <x:v>仅保留打断、抢发言的演出素材；未定义能脱离对白成立的资源取舍前，不投入话术库。</x:v>
      </x:c>
      <x:c r="I68" s="53" t="str">
        <x:v>原案核心是选句子，尚无清楚的系统性结果判定。</x:v>
      </x:c>
      <x:c r="J68" s="53" t="str">
        <x:v>当前仅有收集片段、命中预设提案的链条，未形成可独立重复验证的玩法循环。</x:v>
      </x:c>
      <x:c r="K68" s="53" t="str">
        <x:v>本轮不制作；重启最多十个图标化动作，先不写长对白。</x:v>
      </x:c>
      <x:c r="L68" s="53" t="str">
        <x:v>把对白换成图标后，选择是否仍有上下文价值；若只能靠段子新鲜感则不恢复。</x:v>
      </x:c>
      <x:c r="M68" s="53" t="str">
        <x:v>备选</x:v>
      </x:c>
      <x:c r="N68" s="53" t="str">
        <x:v>可截取预设话术片段，再按场合组成自己的提案</x:v>
      </x:c>
      <x:c r="O68" s="53" t="str">
        <x:v>会议打断王</x:v>
      </x:c>
      <x:c r="P68" s="73"/>
    </x:row>
    <x:row r="69" ht="57.75" customHeight="1">
      <x:c r="A69" s="60" t="n">
        <x:v>63</x:v>
      </x:c>
      <x:c r="B69" s="58" t="str">
        <x:v>桌面窗口地牢</x:v>
      </x:c>
      <x:c r="C69" s="54" t="str">
        <x:v>重构</x:v>
      </x:c>
      <x:c r="D69" s="54" t="str">
        <x:v>主候选池</x:v>
      </x:c>
      <x:c r="E69" s="64"/>
      <x:c r="F69" s="52" t="str"/>
      <x:c r="G69" s="52" t="str">
        <x:v>拖窗、缩放和叠层能直接改变空间，有可见入口；但任意窗口拓扑、挤压伤害与敌人寻路叠加会变成难预测的漏洞游戏。</x:v>
      </x:c>
      <x:c r="H69" s="52" t="str">
        <x:v>固定为格子窗口；移动、缩放、遮盖各消耗面积预算，敌人下一步路径提前显示。禁止重叠瞬杀。</x:v>
      </x:c>
      <x:c r="I69" s="52" t="str">
        <x:v>拖动一扇房间窗口，选择接通道路、腾空间或遮住一条通道。</x:v>
      </x:c>
      <x:c r="J69" s="52" t="str">
        <x:v>观察下一波目标，花有限操作调整窗口，自动推进一拍；收集资源换窗口模块，带着已有房间继续应对新波次。</x:v>
      </x:c>
      <x:c r="K69" s="52" t="str">
        <x:v>单屏、三个窗口、两种敌人、六个模块；离散移动，不连接真实桌面。</x:v>
      </x:c>
      <x:c r="L69" s="52" t="str">
        <x:v>同一窗口是否会随局面改变用途，重排是否影响后续路径；若始终缩成窄口最优则先修约束。</x:v>
      </x:c>
      <x:c r="M69" s="52" t="str">
        <x:v>备选</x:v>
      </x:c>
      <x:c r="N69" s="52" t="str">
        <x:v>窗口边框是真实墙体，叠放和缩放会改变房间与敌人的路径</x:v>
      </x:c>
      <x:c r="O69" s="52" t="str">
        <x:v>桌面窗口地牢</x:v>
      </x:c>
      <x:c r="P69" s="72"/>
    </x:row>
    <x:row r="70" ht="45" customHeight="1">
      <x:c r="A70" s="61" t="n">
        <x:v>64</x:v>
      </x:c>
      <x:c r="B70" s="59" t="str">
        <x:v>剪贴板复制术</x:v>
      </x:c>
      <x:c r="C70" s="55" t="str">
        <x:v>合并</x:v>
      </x:c>
      <x:c r="D70" s="55" t="str">
        <x:v>合并</x:v>
      </x:c>
      <x:c r="E70" s="65" t="n">
        <x:v>17</x:v>
      </x:c>
      <x:c r="F70" s="53" t="str">
        <x:v>17 贴纸改造书（机制储备）</x:v>
      </x:c>
      <x:c r="G70" s="53" t="str">
        <x:v>复制属性与贴纸赋能是同一机制族；额外剪贴槽和撤销系统增加术语，没有独立目标或验证方式。</x:v>
      </x:c>
      <x:c r="H70" s="53" t="str">
        <x:v>只把有限次数的属性复制作为贴纸改造的稀有工具；保留原材料消耗，不复制任意对象。</x:v>
      </x:c>
      <x:c r="I70" s="53" t="str">
        <x:v>从允许的来源取一个属性，再贴到兼容插槽。</x:v>
      </x:c>
      <x:c r="J70" s="53" t="str">
        <x:v>沿用17的主体循环；复制工具在修路、输出和保留材料之间增加一次取舍。</x:v>
      </x:c>
      <x:c r="K70" s="53" t="str">
        <x:v>一种复制工具、三种属性；不增加独立剪贴板产品和无限撤销。</x:v>
      </x:c>
      <x:c r="L70" s="53" t="str">
        <x:v>复制是否改变既有资源的选择价值；若只是免费生成最佳贴纸则删除该模块。</x:v>
      </x:c>
      <x:c r="M70" s="53" t="str">
        <x:v>备选</x:v>
      </x:c>
      <x:c r="N70" s="53" t="str">
        <x:v>只能保存少量对象的特定属性，粘贴会消耗原材料</x:v>
      </x:c>
      <x:c r="O70" s="53" t="str">
        <x:v>剪贴板复制术</x:v>
      </x:c>
      <x:c r="P70" s="73" t="n">
        <x:v>17</x:v>
      </x:c>
    </x:row>
    <x:row r="71" ht="57.75" customHeight="1">
      <x:c r="A71" s="60" t="n">
        <x:v>65</x:v>
      </x:c>
      <x:c r="B71" s="58" t="str">
        <x:v>表格函数工坊</x:v>
      </x:c>
      <x:c r="C71" s="54" t="str">
        <x:v>暂缓</x:v>
      </x:c>
      <x:c r="D71" s="54" t="str">
        <x:v>暂缓</x:v>
      </x:c>
      <x:c r="E71" s="64"/>
      <x:c r="F71" s="52" t="str"/>
      <x:c r="G71" s="52" t="str">
        <x:v>它明确面向函数与自动化爱好者，不能用‘会填表’推断大众熟悉引用、循环和错误传播。相邻引用也未自动形成经济决策。</x:v>
      </x:c>
      <x:c r="H71" s="52" t="str">
        <x:v>按小众自动化方向单独验证，去掉公式输入，只允许拖动有图解的完整工位，给投入、交付与故障明确代价。</x:v>
      </x:c>
      <x:c r="I71" s="52" t="str">
        <x:v>把加工工位放进格子，选择输入与输出相邻关系。</x:v>
      </x:c>
      <x:c r="J71" s="52" t="str">
        <x:v>从可见订单选一项，有限原料运行固定拍数，出售产品后替换工位；保留容量和效率的冲突。</x:v>
      </x:c>
      <x:c r="K71" s="52" t="str">
        <x:v>四种工位、两种原料、三种订单；不做任意公式和宏。</x:v>
      </x:c>
      <x:c r="L71" s="52" t="str">
        <x:v>玩家是否在订单变化时主动改造，而不只是搭好后看数；仅程序爱好者愿意重玩时，应作为窄受众项目评估。</x:v>
      </x:c>
      <x:c r="M71" s="52" t="str">
        <x:v>备选</x:v>
      </x:c>
      <x:c r="N71" s="52" t="str">
        <x:v>单元格是工位，公式把原料加工成产品，错误值也可被回收</x:v>
      </x:c>
      <x:c r="O71" s="52" t="str">
        <x:v>表格函数工坊</x:v>
      </x:c>
      <x:c r="P71" s="72"/>
    </x:row>
    <x:row r="72" ht="45" customHeight="1">
      <x:c r="A72" s="61" t="n">
        <x:v>66</x:v>
      </x:c>
      <x:c r="B72" s="59" t="str">
        <x:v>二十四小时折叠</x:v>
      </x:c>
      <x:c r="C72" s="55" t="str">
        <x:v>重构</x:v>
      </x:c>
      <x:c r="D72" s="55" t="str">
        <x:v>主候选池</x:v>
      </x:c>
      <x:c r="E72" s="65"/>
      <x:c r="F72" s="53" t="str"/>
      <x:c r="G72" s="53" t="str">
        <x:v>任务共享准备时间有真实因果，但原案像日历优化工具；省下时间本身的奖励与后续选择不足。</x:v>
      </x:c>
      <x:c r="H72" s="53" t="str">
        <x:v>改成‘一天跑腿局’：只保留地点、任务材料和时间三项，完成任务留下可携带的产物，突发任务提前一拍预告。</x:v>
      </x:c>
      <x:c r="I72" s="53" t="str">
        <x:v>把任务接到路线中，选择顺路做、延期或留出空档。</x:v>
      </x:c>
      <x:c r="J72" s="53" t="str">
        <x:v>每轮抽到可筛选的任务报价，选承接数量并排序，执行后获得现金和副产物；用有限升级改变携带能力和时间缓冲。</x:v>
      </x:c>
      <x:c r="K72" s="53" t="str">
        <x:v>三处地点、八类任务、六个日程格、五轮；不模拟真实作息和全部生活活动。</x:v>
      </x:c>
      <x:c r="L72" s="53" t="str">
        <x:v>同一任务能否因副产物、临近期限和路线变成不同价值；若永远按地点归类即可，则未达到构筑深度。</x:v>
      </x:c>
      <x:c r="M72" s="53" t="str">
        <x:v>备选</x:v>
      </x:c>
      <x:c r="N72" s="53" t="str">
        <x:v>相邻任务可共享准备时间，空档能接住突发事件</x:v>
      </x:c>
      <x:c r="O72" s="53" t="str">
        <x:v>一天跑腿局</x:v>
      </x:c>
      <x:c r="P72" s="73"/>
    </x:row>
    <x:row r="73" ht="45" customHeight="1">
      <x:c r="A73" s="60" t="n">
        <x:v>67</x:v>
      </x:c>
      <x:c r="B73" s="58" t="str">
        <x:v>课程表构筑</x:v>
      </x:c>
      <x:c r="C73" s="54" t="str">
        <x:v>合并</x:v>
      </x:c>
      <x:c r="D73" s="54" t="str">
        <x:v>合并</x:v>
      </x:c>
      <x:c r="E73" s="64" t="n">
        <x:v>66</x:v>
      </x:c>
      <x:c r="F73" s="52" t="str">
        <x:v>66 一天跑腿局（主候选）</x:v>
      </x:c>
      <x:c r="G73" s="52" t="str">
        <x:v>课程前后关联属于任务排程；体育激活音乐再转换数学缺少直觉，需背人为配方且容易暗示不可靠教育规律。</x:v>
      </x:c>
      <x:c r="H73" s="52" t="str">
        <x:v>只借用休息格恢复资源、复习保留成果两种可解释机制；课程题材不作为第二款产品展开。</x:v>
      </x:c>
      <x:c r="I73" s="52" t="str">
        <x:v>在连续任务间插入休息或保留格。</x:v>
      </x:c>
      <x:c r="J73" s="52" t="str">
        <x:v>并入66的日程选择：牺牲当前任务位，换下一轮精力或材料保留。</x:v>
      </x:c>
      <x:c r="K73" s="52" t="str">
        <x:v>最多两类缓冲格；删除学科相克和额外社团系统。</x:v>
      </x:c>
      <x:c r="L73" s="52" t="str">
        <x:v>休息是否在部分局面值得牺牲订单，且不成为固定每隔一格必放的模板。</x:v>
      </x:c>
      <x:c r="M73" s="52" t="str">
        <x:v>备选</x:v>
      </x:c>
      <x:c r="N73" s="52" t="str">
        <x:v>学科效果由前后课程决定，休息和复习改变学习成果的保留方式</x:v>
      </x:c>
      <x:c r="O73" s="52" t="str">
        <x:v>课程表构筑</x:v>
      </x:c>
      <x:c r="P73" s="72" t="n">
        <x:v>66</x:v>
      </x:c>
    </x:row>
    <x:row r="74" ht="45" customHeight="1">
      <x:c r="A74" s="61" t="n">
        <x:v>68</x:v>
      </x:c>
      <x:c r="B74" s="59" t="str">
        <x:v>草稿纸远征</x:v>
      </x:c>
      <x:c r="C74" s="55" t="str">
        <x:v>合并</x:v>
      </x:c>
      <x:c r="D74" s="55" t="str">
        <x:v>合并</x:v>
      </x:c>
      <x:c r="E74" s="65" t="n">
        <x:v>17</x:v>
      </x:c>
      <x:c r="F74" s="53" t="str">
        <x:v>17 贴纸改造书（机制储备）</x:v>
      </x:c>
      <x:c r="G74" s="53" t="str">
        <x:v>画线变桥与贴物体赋功能重叠；‘验算结果改机关’又引入独立数学门槛，原案没有统一规则。</x:v>
      </x:c>
      <x:c r="H74" s="53" t="str">
        <x:v>保留桥形、坡道形的预制贴片，作为17的一组空间工具；移除验算和任意绘图识别。</x:v>
      </x:c>
      <x:c r="I74" s="53" t="str">
        <x:v>选择一种路面贴片，在有限格位放置或撤回。</x:v>
      </x:c>
      <x:c r="J74" s="53" t="str">
        <x:v>沿用17的资源循环，用同一贴片解决通行或触发需求。</x:v>
      </x:c>
      <x:c r="K74" s="53" t="str">
        <x:v>三种固定轮廓，不增加独立数学题、线段识别和自由画桥。</x:v>
      </x:c>
      <x:c r="L74" s="53" t="str">
        <x:v>同一贴片能否有通行以外的第二种用途；若每关只是找到唯一缺口则只作为关卡道具。</x:v>
      </x:c>
      <x:c r="M74" s="53" t="str">
        <x:v>备选</x:v>
      </x:c>
      <x:c r="N74" s="53" t="str">
        <x:v>草稿线条会成为角色脚下的路，验算结果改变机关</x:v>
      </x:c>
      <x:c r="O74" s="53" t="str">
        <x:v>草稿纸远征</x:v>
      </x:c>
      <x:c r="P74" s="73" t="n">
        <x:v>17</x:v>
      </x:c>
    </x:row>
    <x:row r="75" ht="45" customHeight="1">
      <x:c r="A75" s="60" t="n">
        <x:v>69</x:v>
      </x:c>
      <x:c r="B75" s="58" t="str">
        <x:v>橡皮擦改世界</x:v>
      </x:c>
      <x:c r="C75" s="54" t="str">
        <x:v>合并</x:v>
      </x:c>
      <x:c r="D75" s="54" t="str">
        <x:v>合并</x:v>
      </x:c>
      <x:c r="E75" s="64" t="n">
        <x:v>17</x:v>
      </x:c>
      <x:c r="F75" s="52" t="str">
        <x:v>17 贴纸改造书（机制储备）</x:v>
      </x:c>
      <x:c r="G75" s="52" t="str">
        <x:v>删除属性与添加属性是互补操作，适合共享一套语法；橡皮屑另开资源系统会分散核心。</x:v>
      </x:c>
      <x:c r="H75" s="52" t="str">
        <x:v>把擦除做成17的有限拆卸工具，回收部分材料；不承诺擦字即可改变任意物理属性。</x:v>
      </x:c>
      <x:c r="I75" s="52" t="str">
        <x:v>擦除一个可见属性贴片，换取空间或回收料。</x:v>
      </x:c>
      <x:c r="J75" s="52" t="str">
        <x:v>在17中用当前能力换未来资源，支持转型而非重开。</x:v>
      </x:c>
      <x:c r="K75" s="52" t="str">
        <x:v>两种擦除效果，回收沿用原资源，不新增屑粒模拟。</x:v>
      </x:c>
      <x:c r="L75" s="52" t="str">
        <x:v>拆除能否让次优构筑继续可用；若只是无损重置全部决策，应增加明确成本。</x:v>
      </x:c>
      <x:c r="M75" s="52" t="str">
        <x:v>备选</x:v>
      </x:c>
      <x:c r="N75" s="52" t="str">
        <x:v>擦除某个属性能改变对象用途，但橡皮屑占空间并可再利用</x:v>
      </x:c>
      <x:c r="O75" s="52" t="str">
        <x:v>橡皮擦改世界</x:v>
      </x:c>
      <x:c r="P75" s="72" t="n">
        <x:v>17</x:v>
      </x:c>
    </x:row>
    <x:row r="76" ht="45" customHeight="1">
      <x:c r="A76" s="61" t="n">
        <x:v>70</x:v>
      </x:c>
      <x:c r="B76" s="59" t="str">
        <x:v>工位风水局</x:v>
      </x:c>
      <x:c r="C76" s="55" t="str">
        <x:v>合并</x:v>
      </x:c>
      <x:c r="D76" s="55" t="str">
        <x:v>合并</x:v>
      </x:c>
      <x:c r="E76" s="65" t="n">
        <x:v>50</x:v>
      </x:c>
      <x:c r="F76" s="53" t="str">
        <x:v>50 一平方米夜市（主候选）</x:v>
      </x:c>
      <x:c r="G76" s="53" t="str">
        <x:v>邻接传播、人员加成与有限空间已被夜市布局覆盖；咖啡造成全员任务接力缺少足够直接的因果。</x:v>
      </x:c>
      <x:c r="H76" s="53" t="str">
        <x:v>只保留噪音干扰和公共设施覆盖作为50的候选模块；不同时引入员工排班、文件和办公室叙事。</x:v>
      </x:c>
      <x:c r="I76" s="53" t="str">
        <x:v>移动一件共享设施，在覆盖收益与占位之间取舍。</x:v>
      </x:c>
      <x:c r="J76" s="53" t="str">
        <x:v>沿用50的布局经营循环，公共设施帮助不同摊位但占用赚钱面积。</x:v>
      </x:c>
      <x:c r="K76" s="53" t="str">
        <x:v>先试一个覆盖设施和一种干扰，整套办公包装存档。</x:v>
      </x:c>
      <x:c r="L76" s="53" t="str">
        <x:v>设施位置是否随邻居和客流改变；若永远摆中心则不保留。</x:v>
      </x:c>
      <x:c r="M76" s="53" t="str">
        <x:v>备选</x:v>
      </x:c>
      <x:c r="N76" s="53" t="str">
        <x:v>视线、噪音、咖啡和资料会沿工位布局传播，重排改变协作</x:v>
      </x:c>
      <x:c r="O76" s="53" t="str">
        <x:v>工位风水局</x:v>
      </x:c>
      <x:c r="P76" s="73" t="n">
        <x:v>50</x:v>
      </x:c>
    </x:row>
    <x:row r="77" ht="57.75" customHeight="1">
      <x:c r="A77" s="60" t="n">
        <x:v>71</x:v>
      </x:c>
      <x:c r="B77" s="58" t="str">
        <x:v>电梯重排</x:v>
      </x:c>
      <x:c r="C77" s="54" t="str">
        <x:v>重构</x:v>
      </x:c>
      <x:c r="D77" s="54" t="str">
        <x:v>主候选池</x:v>
      </x:c>
      <x:c r="E77" s="64"/>
      <x:c r="F77" s="52" t="str"/>
      <x:c r="G77" s="52" t="str">
        <x:v>‘相邻楼层一次停靠完成需求’不成立，仍需开门和移动；若乘客跟楼号走，搬楼层还会让目标含混或直接消除约束。</x:v>
      </x:c>
      <x:c r="H77" s="52" t="str">
        <x:v>目的地绑定食堂、办公室等用途，楼层交换后目标随设施移动；上行、下行、开门各占时间，换层消耗停业轮次。</x:v>
      </x:c>
      <x:c r="I77" s="52" t="str">
        <x:v>选择接谁、停哪里，以及何时暂停服务交换两层用途。</x:v>
      </x:c>
      <x:c r="J77" s="52" t="str">
        <x:v>预告未来两批乘客，在载重与期限内运输赚维修费；买轿厢模块或换层，改变后续真实路程与转乘需求。</x:v>
      </x:c>
      <x:c r="K77" s="52" t="str">
        <x:v>六层、一台轿厢、四类乘客、五批需求；不做自由建筑和多梯寻路。</x:v>
      </x:c>
      <x:c r="L77" s="52" t="str">
        <x:v>换层是否牺牲当前收益但改善未来两批；能否稳定区分少停靠、重载和多段行程，且没人误读目标楼层。</x:v>
      </x:c>
      <x:c r="M77" s="52" t="str">
        <x:v>首轮候选</x:v>
      </x:c>
      <x:c r="N77" s="52" t="str">
        <x:v>完成送达可调整有限楼层卡，逐步构筑更高效的楼层关系</x:v>
      </x:c>
      <x:c r="O77" s="52" t="str">
        <x:v>电梯重排</x:v>
      </x:c>
      <x:c r="P77" s="72"/>
    </x:row>
    <x:row r="78" ht="45" customHeight="1">
      <x:c r="A78" s="61" t="n">
        <x:v>72</x:v>
      </x:c>
      <x:c r="B78" s="59" t="str">
        <x:v>公交座位大师</x:v>
      </x:c>
      <x:c r="C78" s="55" t="str">
        <x:v>合并</x:v>
      </x:c>
      <x:c r="D78" s="55" t="str">
        <x:v>合并</x:v>
      </x:c>
      <x:c r="E78" s="65" t="n">
        <x:v>81</x:v>
      </x:c>
      <x:c r="F78" s="53" t="str">
        <x:v>81 排队连锁店（主候选）</x:v>
      </x:c>
      <x:c r="G78" s="53" t="str">
        <x:v>座位邻接、临时换位与到点离开和排队系统高度重合，公交场景还额外引入站点、车门与车内通路。</x:v>
      </x:c>
      <x:c r="H78" s="53" t="str">
        <x:v>仅保留大件占双容量、成组服务、临近下车期限三个候选需求；不把完整车厢塞进81。</x:v>
      </x:c>
      <x:c r="I78" s="53" t="str">
        <x:v>把有限容量留给单客、团体或即将到期的需求。</x:v>
      </x:c>
      <x:c r="J78" s="53" t="str">
        <x:v>并入81的服务顺序与容量选择，交通题材留作替代包装。</x:v>
      </x:c>
      <x:c r="K78" s="53" t="str">
        <x:v>最多加入两类容量需求；不增加车厢实时走路和站点模拟。</x:v>
      </x:c>
      <x:c r="L78" s="53" t="str">
        <x:v>大件顾客是否时而值得接，时而应让位，而不成为永远拒绝的负担。</x:v>
      </x:c>
      <x:c r="M78" s="53" t="str">
        <x:v>备选</x:v>
      </x:c>
      <x:c r="N78" s="53" t="str">
        <x:v>乘客邻座能力会影响整车，换座还能改变下车速度和收入</x:v>
      </x:c>
      <x:c r="O78" s="53" t="str">
        <x:v>公交座位大师</x:v>
      </x:c>
      <x:c r="P78" s="73" t="n">
        <x:v>81</x:v>
      </x:c>
    </x:row>
    <x:row r="79" ht="45" customHeight="1">
      <x:c r="A79" s="60" t="n">
        <x:v>73</x:v>
      </x:c>
      <x:c r="B79" s="58" t="str">
        <x:v>红绿灯连锁</x:v>
      </x:c>
      <x:c r="C79" s="54" t="str">
        <x:v>重构</x:v>
      </x:c>
      <x:c r="D79" s="54" t="str">
        <x:v>主候选池</x:v>
      </x:c>
      <x:c r="E79" s="64"/>
      <x:c r="F79" s="52" t="str"/>
      <x:c r="G79" s="52" t="str">
        <x:v>红绿灯入口明确，但过车给灯充能是附加设定；如果最佳解总是绿波，只有调参没有方向差异。</x:v>
      </x:c>
      <x:c r="H79" s="52" t="str">
        <x:v>把构筑放在可解释设施上：公交可批量运人，货车占长车位，储车区缓冲，感应灯把空闲绿灯时间借给邻口。</x:v>
      </x:c>
      <x:c r="I79" s="52" t="str">
        <x:v>选择本拍放行方向，改一个路口的相位或缓冲设施。</x:v>
      </x:c>
      <x:c r="J79" s="52" t="str">
        <x:v>预告下一批车流，用有限相位安排完成运输，按送达与等待获得资源；升级容量或连锁感应，应对变化中的流向。</x:v>
      </x:c>
      <x:c r="K79" s="52" t="str">
        <x:v>三个路口、三种车辆、两种感应器、固定离散拍；不做城市仿真。</x:v>
      </x:c>
      <x:c r="L79" s="52" t="str">
        <x:v>在三种车流结构下是否出现不同配置；若全程一条绿波即可通关，或后果只能靠调试理解，则停止扩图。</x:v>
      </x:c>
      <x:c r="M79" s="52" t="str">
        <x:v>备选</x:v>
      </x:c>
      <x:c r="N79" s="52" t="str">
        <x:v>不同车辆经过路口会给灯充能，灯相位可接成协同网络</x:v>
      </x:c>
      <x:c r="O79" s="52" t="str">
        <x:v>红绿灯连锁</x:v>
      </x:c>
      <x:c r="P79" s="72"/>
    </x:row>
    <x:row r="80" ht="45" customHeight="1">
      <x:c r="A80" s="61" t="n">
        <x:v>74</x:v>
      </x:c>
      <x:c r="B80" s="59" t="str">
        <x:v>快递分拣迷宫</x:v>
      </x:c>
      <x:c r="C80" s="55" t="str">
        <x:v>合并</x:v>
      </x:c>
      <x:c r="D80" s="55" t="str">
        <x:v>合并</x:v>
      </x:c>
      <x:c r="E80" s="65" t="n">
        <x:v>32</x:v>
      </x:c>
      <x:c r="F80" s="53" t="str">
        <x:v>32 回转寿司工坊（主候选）</x:v>
      </x:c>
      <x:c r="G80" s="53" t="str">
        <x:v>变标签、拆分、加工、传送已被寿司循环覆盖；换包裹皮肤不会自动增加独立决策。</x:v>
      </x:c>
      <x:c r="H80" s="53" t="str">
        <x:v>只测试目的地分流和拥堵缓冲是否能改善32；信息标签最多三种，不再维护第二套生产线。</x:v>
      </x:c>
      <x:c r="I80" s="53" t="str">
        <x:v>在分岔前选择一条路线，或占用缓冲位等待。</x:v>
      </x:c>
      <x:c r="J80" s="53" t="str">
        <x:v>沿用32的有限原料、固定圈数与订单循环，分流作为后续单一模块。</x:v>
      </x:c>
      <x:c r="K80" s="53" t="str">
        <x:v>一种分岔、一个缓冲格；不把物流网、标签转换和装配同时加入。</x:v>
      </x:c>
      <x:c r="L80" s="53" t="str">
        <x:v>分流是否产生有代价的订单选择；若增加阅读却不改变取舍，舍弃模块。</x:v>
      </x:c>
      <x:c r="M80" s="53" t="str">
        <x:v>备选</x:v>
      </x:c>
      <x:c r="N80" s="53" t="str">
        <x:v>包裹经过站点可以改变尺寸和标签，路线同时是加工顺序</x:v>
      </x:c>
      <x:c r="O80" s="53" t="str">
        <x:v>快递分拣迷宫</x:v>
      </x:c>
      <x:c r="P80" s="73" t="n">
        <x:v>32</x:v>
      </x:c>
    </x:row>
    <x:row r="81" ht="45" customHeight="1">
      <x:c r="A81" s="60" t="n">
        <x:v>75</x:v>
      </x:c>
      <x:c r="B81" s="58" t="str">
        <x:v>停车位挪移术</x:v>
      </x:c>
      <x:c r="C81" s="54" t="str">
        <x:v>保留深化</x:v>
      </x:c>
      <x:c r="D81" s="54" t="str">
        <x:v>主候选池</x:v>
      </x:c>
      <x:c r="E81" s="64"/>
      <x:c r="F81" s="52" t="str"/>
      <x:c r="G81" s="52" t="str">
        <x:v>倒车和出口占位直观，停车后车辆成为设施能制造前后状态变化；需防止变成只有唯一解的挪车题。</x:v>
      </x:c>
      <x:c r="H81" s="52" t="str">
        <x:v>每波预告离场顺序，车辆可送走变现，也可留下提供电力或牵引；移动泊位须消耗一次停运机会。</x:v>
      </x:c>
      <x:c r="I81" s="52" t="str">
        <x:v>挪一辆车或转一块泊位，决定谁离场、谁留下供能。</x:v>
      </x:c>
      <x:c r="J81" s="52" t="str">
        <x:v>接收可选择的车辆需求，用有限步数完成停车与出场，赚取泊位件；保留车辆的能力会继续占用下一波空间。</x:v>
      </x:c>
      <x:c r="K81" s="52" t="str">
        <x:v>五乘五格、四种车、两种特殊泊位、四波；固定格移动，无车辆操控。</x:v>
      </x:c>
      <x:c r="L81" s="52" t="str">
        <x:v>同一能力车是否会从值得留变成应送走；至少验证两种布局能完成同一普通波次，而非只存在一道标准解。</x:v>
      </x:c>
      <x:c r="M81" s="52" t="str">
        <x:v>备选</x:v>
      </x:c>
      <x:c r="N81" s="52" t="str">
        <x:v>车位可以拼接或短时转向，停车后车辆能提供场地能力</x:v>
      </x:c>
      <x:c r="O81" s="52" t="str">
        <x:v>停车位挪移术</x:v>
      </x:c>
      <x:c r="P81" s="72"/>
    </x:row>
    <x:row r="82" ht="45" customHeight="1">
      <x:c r="A82" s="61" t="n">
        <x:v>76</x:v>
      </x:c>
      <x:c r="B82" s="59" t="str">
        <x:v>消防炼金队</x:v>
      </x:c>
      <x:c r="C82" s="55" t="str">
        <x:v>合并</x:v>
      </x:c>
      <x:c r="D82" s="55" t="str">
        <x:v>合并</x:v>
      </x:c>
      <x:c r="E82" s="65" t="n">
        <x:v>56</x:v>
      </x:c>
      <x:c r="F82" s="53" t="str">
        <x:v>56 家电共生（暂缓）</x:v>
      </x:c>
      <x:c r="G82" s="53" t="str">
        <x:v>水、蒸汽和泵的副产物循环与家电共生相同；同时救人、灭火、供能会让目标层数增加。</x:v>
      </x:c>
      <x:c r="H82" s="53" t="str">
        <x:v>把消防场景作为56的压力关卡候选，先只保留降温产生蒸汽和有限储水，不加入寻路救人。</x:v>
      </x:c>
      <x:c r="I82" s="53" t="str">
        <x:v>把剩余水和蒸汽分配给降温或设备运行。</x:v>
      </x:c>
      <x:c r="J82" s="53" t="str">
        <x:v>沿用56的资源转换循环，以某节点温度上限形成短期压力。</x:v>
      </x:c>
      <x:c r="K82" s="53" t="str">
        <x:v>一个火点、一个蒸汽泵、两个需求端；无真实流体和建筑火灾模拟。</x:v>
      </x:c>
      <x:c r="L82" s="53" t="str">
        <x:v>是否出现救急耗水与保留供能的取舍；若流程始终是灭一点火开泵，则只是教学关。</x:v>
      </x:c>
      <x:c r="M82" s="53" t="str">
        <x:v>备选</x:v>
      </x:c>
      <x:c r="N82" s="53" t="str">
        <x:v>火转成蒸汽、蒸汽推泵，救援过程重组能量与水路</x:v>
      </x:c>
      <x:c r="O82" s="53" t="str">
        <x:v>消防炼金队</x:v>
      </x:c>
      <x:c r="P82" s="73" t="n">
        <x:v>56</x:v>
      </x:c>
    </x:row>
    <x:row r="83" ht="45" customHeight="1">
      <x:c r="A83" s="60" t="n">
        <x:v>77</x:v>
      </x:c>
      <x:c r="B83" s="58" t="str">
        <x:v>垃圾回收进化</x:v>
      </x:c>
      <x:c r="C83" s="54" t="str">
        <x:v>合并</x:v>
      </x:c>
      <x:c r="D83" s="54" t="str">
        <x:v>合并</x:v>
      </x:c>
      <x:c r="E83" s="64" t="n">
        <x:v>45</x:v>
      </x:c>
      <x:c r="F83" s="52" t="str">
        <x:v>45 拆箱连锁（机制储备）</x:v>
      </x:c>
      <x:c r="G83" s="52" t="str">
        <x:v>垃圾变任意工具需要庞大配方，‘废纸造桥、金属成轨’不是自然可推断的稳定系统；与拆包装保留材料重合。</x:v>
      </x:c>
      <x:c r="H83" s="52" t="str">
        <x:v>并入45，只保留固定材质回收和少量模具；废料不能任意长成所需工具。</x:v>
      </x:c>
      <x:c r="I83" s="52" t="str">
        <x:v>选择拆解或整块保留，再把材料压成一种现成组件。</x:v>
      </x:c>
      <x:c r="J83" s="52" t="str">
        <x:v>沿用45的拆箱与下一轮工具循环，回收提供转型和空间管理。</x:v>
      </x:c>
      <x:c r="K83" s="52" t="str">
        <x:v>纸、金属、塑料三类，三个模具；不做污染、任意合成与铺路车辆。</x:v>
      </x:c>
      <x:c r="L83" s="52" t="str">
        <x:v>回收是否因容量和下轮需求而改变选择；若所有物品都应立刻压成最高级工具则不成立。</x:v>
      </x:c>
      <x:c r="M83" s="52" t="str">
        <x:v>备选</x:v>
      </x:c>
      <x:c r="N83" s="52" t="str">
        <x:v>废料的形状和材质决定新工具，污染标签需要处理或利用</x:v>
      </x:c>
      <x:c r="O83" s="52" t="str">
        <x:v>垃圾回收进化</x:v>
      </x:c>
      <x:c r="P83" s="72" t="n">
        <x:v>45</x:v>
      </x:c>
    </x:row>
    <x:row r="84" ht="45" customHeight="1">
      <x:c r="A84" s="61" t="n">
        <x:v>78</x:v>
      </x:c>
      <x:c r="B84" s="59" t="str">
        <x:v>邮票环游记</x:v>
      </x:c>
      <x:c r="C84" s="55" t="str">
        <x:v>合并</x:v>
      </x:c>
      <x:c r="D84" s="55" t="str">
        <x:v>合并</x:v>
      </x:c>
      <x:c r="E84" s="65" t="n">
        <x:v>4</x:v>
      </x:c>
      <x:c r="F84" s="53" t="str">
        <x:v>4 改路大富翁（主候选）</x:v>
      </x:c>
      <x:c r="G84" s="53" t="str">
        <x:v>沿路获得能力和改变路线，与改路大富翁重复；邮票地点同时当指令并不符合多数人的邮寄经验。</x:v>
      </x:c>
      <x:c r="H84" s="53" t="str">
        <x:v>只借用邮戳作为可见的路线履历，让经过一次与多次的地块有区别；不独立造邮票语法。</x:v>
      </x:c>
      <x:c r="I84" s="53" t="str">
        <x:v>决定绕路取得一次性邮戳，还是直接抵达。</x:v>
      </x:c>
      <x:c r="J84" s="53" t="str">
        <x:v>并入4的走格与改路循环，以邮戳显示累计效果和已消耗次数。</x:v>
      </x:c>
      <x:c r="K84" s="53" t="str">
        <x:v>两种邮戳，不加入信封拼图与真实邮政地理。</x:v>
      </x:c>
      <x:c r="L84" s="53" t="str">
        <x:v>绕路是否在部分资源状态下有利，且玩家能从履历看懂来源。</x:v>
      </x:c>
      <x:c r="M84" s="53" t="str">
        <x:v>备选</x:v>
      </x:c>
      <x:c r="N84" s="53" t="str">
        <x:v>每经过一站获得邮戳能力，贴票位置决定下一站与加工</x:v>
      </x:c>
      <x:c r="O84" s="53" t="str">
        <x:v>邮票环游记</x:v>
      </x:c>
      <x:c r="P84" s="73" t="n">
        <x:v>4</x:v>
      </x:c>
    </x:row>
    <x:row r="85" ht="45" customHeight="1">
      <x:c r="A85" s="60" t="n">
        <x:v>79</x:v>
      </x:c>
      <x:c r="B85" s="58" t="str">
        <x:v>行李转盘奇旅</x:v>
      </x:c>
      <x:c r="C85" s="54" t="str">
        <x:v>合并</x:v>
      </x:c>
      <x:c r="D85" s="54" t="str">
        <x:v>合并</x:v>
      </x:c>
      <x:c r="E85" s="64" t="n">
        <x:v>32</x:v>
      </x:c>
      <x:c r="F85" s="52" t="str">
        <x:v>32 回转寿司工坊（主候选）</x:v>
      </x:c>
      <x:c r="G85" s="52" t="str">
        <x:v>转盘换装备与传送带加工本质相同；旅行箱互换挂件缺乏清楚目的，最后一刻取走主要是计时刺激。</x:v>
      </x:c>
      <x:c r="H85" s="52" t="str">
        <x:v>只保留在固定出口取件的截止约束，作为32的订单条件；不新增箱体和装备系统。</x:v>
      </x:c>
      <x:c r="I85" s="52" t="str">
        <x:v>在本圈交付或冒险再加工一圈。</x:v>
      </x:c>
      <x:c r="J85" s="52" t="str">
        <x:v>沿用32的跑圈加工循环，用过期损失约束贪更多加工。</x:v>
      </x:c>
      <x:c r="K85" s="52" t="str">
        <x:v>一个明确截止图标，不做随机抢取和手速检定。</x:v>
      </x:c>
      <x:c r="L85" s="52" t="str">
        <x:v>多绕一圈是否有可解释的收益与风险，玩家能否提前判断过期。</x:v>
      </x:c>
      <x:c r="M85" s="52" t="str">
        <x:v>备选</x:v>
      </x:c>
      <x:c r="N85" s="52" t="str">
        <x:v>行李在转盘上互相交换挂件，取走时机决定最终组合</x:v>
      </x:c>
      <x:c r="O85" s="52" t="str">
        <x:v>行李转盘奇旅</x:v>
      </x:c>
      <x:c r="P85" s="72" t="n">
        <x:v>32</x:v>
      </x:c>
    </x:row>
    <x:row r="86" ht="45" customHeight="1">
      <x:c r="A86" s="61" t="n">
        <x:v>80</x:v>
      </x:c>
      <x:c r="B86" s="59" t="str">
        <x:v>地铁换乘构筑</x:v>
      </x:c>
      <x:c r="C86" s="55" t="str">
        <x:v>合并</x:v>
      </x:c>
      <x:c r="D86" s="55" t="str">
        <x:v>合并</x:v>
      </x:c>
      <x:c r="E86" s="65" t="n">
        <x:v>71</x:v>
      </x:c>
      <x:c r="F86" s="53" t="str">
        <x:v>71 电梯重排（主候选）</x:v>
      </x:c>
      <x:c r="G86" s="53" t="str">
        <x:v>购物、休息等状态挂在线路上容易成为标签串联，且线路图增加信息密度；核心多目标运输可并入电梯。</x:v>
      </x:c>
      <x:c r="H86" s="53" t="str">
        <x:v>只保留目的地链与同程客群，作为71的有限乘客需求；不另做地图换乘网络。</x:v>
      </x:c>
      <x:c r="I86" s="53" t="str">
        <x:v>选择顺路接一段任务，或腾出运力直达。</x:v>
      </x:c>
      <x:c r="J86" s="53" t="str">
        <x:v>并入71，以设施用途改变乘客后续目标，形成多段运输。</x:v>
      </x:c>
      <x:c r="K86" s="53" t="str">
        <x:v>一种两段行程，不增加第三种城市尺度系统。</x:v>
      </x:c>
      <x:c r="L86" s="53" t="str">
        <x:v>连程客是否在特定布局中有利，在另一些局面下值得放弃；若只奖励做更多则删。</x:v>
      </x:c>
      <x:c r="M86" s="53" t="str">
        <x:v>备选</x:v>
      </x:c>
      <x:c r="N86" s="53" t="str">
        <x:v>不同线路改变乘客状态，换乘组合决定任务完成方式</x:v>
      </x:c>
      <x:c r="O86" s="53" t="str">
        <x:v>地铁换乘构筑</x:v>
      </x:c>
      <x:c r="P86" s="73" t="n">
        <x:v>71</x:v>
      </x:c>
    </x:row>
    <x:row r="87" ht="45" customHeight="1">
      <x:c r="A87" s="60" t="n">
        <x:v>81</x:v>
      </x:c>
      <x:c r="B87" s="58" t="str">
        <x:v>排队连锁店</x:v>
      </x:c>
      <x:c r="C87" s="54" t="str">
        <x:v>保留深化</x:v>
      </x:c>
      <x:c r="D87" s="54" t="str">
        <x:v>主候选池</x:v>
      </x:c>
      <x:c r="E87" s="64"/>
      <x:c r="F87" s="52" t="str"/>
      <x:c r="G87" s="52" t="str">
        <x:v>队列顺序、耐心和离队事件都能直接显示，适合低成本验证；但单纯奖励顾客退场会产生刷入刷出的假循环。</x:v>
      </x:c>
      <x:c r="H87" s="52" t="str">
        <x:v>触发均绑定一次真实服务或首次入队，不凭换位造收益；每轮预告顾客，明确可拒单与收入损失。</x:v>
      </x:c>
      <x:c r="I87" s="52" t="str">
        <x:v>换一位、服务一组或保留资源等待后续需求。</x:v>
      </x:c>
      <x:c r="J87" s="52" t="str">
        <x:v>接收部分可见顾客，有限操作安排队列，消耗服务物料交付；收益购买人员能力或窗口容量，已服务顾客离场。</x:v>
      </x:c>
      <x:c r="K87" s="52" t="str">
        <x:v>六种顾客、一个队列、两个服务槽、五轮；每个效果一句话。</x:v>
      </x:c>
      <x:c r="L87" s="52" t="str">
        <x:v>普通顾客能否被组合成可用打法；快服务、等高价、成组服务是否随局面变化，且玩家看懂每次连锁来源。</x:v>
      </x:c>
      <x:c r="M87" s="52" t="str">
        <x:v>首轮候选</x:v>
      </x:c>
      <x:c r="N87" s="52" t="str">
        <x:v>入队、换位、离队各自触发角色能力，队伍顺序成为构筑</x:v>
      </x:c>
      <x:c r="O87" s="52" t="str">
        <x:v>排队连锁店</x:v>
      </x:c>
      <x:c r="P87" s="72"/>
    </x:row>
    <x:row r="88" ht="57.75" customHeight="1">
      <x:c r="A88" s="61" t="n">
        <x:v>82</x:v>
      </x:c>
      <x:c r="B88" s="59" t="str">
        <x:v>饭局排座大师</x:v>
      </x:c>
      <x:c r="C88" s="55" t="str">
        <x:v>暂缓</x:v>
      </x:c>
      <x:c r="D88" s="55" t="str">
        <x:v>暂缓</x:v>
      </x:c>
      <x:c r="E88" s="65"/>
      <x:c r="F88" s="53" t="str"/>
      <x:c r="G88" s="53" t="str">
        <x:v>题材容易引发联想，但真正的规则来自作者指定的人际标签；钓鱼话题串三桌可能只有第一次好笑，长期变成找相同图标。</x:v>
      </x:c>
      <x:c r="H88" s="53" t="str">
        <x:v>先只做共同兴趣、音量和耐心三类可见状态，菜品只产生一种变化；不做隐性情商测试、职位刻板印象和长对白。</x:v>
      </x:c>
      <x:c r="I88" s="53" t="str">
        <x:v>移动一名宾客或上一道菜，改变一个话题的传播方向。</x:v>
      </x:c>
      <x:c r="J88" s="53" t="str">
        <x:v>接待有不同公开偏好的客人，有限换座和菜量维持气氛，赚下一轮布置预算；先验证再考虑构筑内容。</x:v>
      </x:c>
      <x:c r="K88" s="53" t="str">
        <x:v>六位宾客、一桌、四种兴趣、三道菜，只有两轮。</x:v>
      </x:c>
      <x:c r="L88" s="53" t="str">
        <x:v>去掉笑话后同一菜能否有两种用法，玩家是否期待再排一次；若只追求相同标签挨在一起则不升级。</x:v>
      </x:c>
      <x:c r="M88" s="53" t="str">
        <x:v>备选</x:v>
      </x:c>
      <x:c r="N88" s="53" t="str">
        <x:v>话题沿邻座与共同兴趣传播，菜品可打断或改变传播方向</x:v>
      </x:c>
      <x:c r="O88" s="53" t="str">
        <x:v>饭局排座大师</x:v>
      </x:c>
      <x:c r="P88" s="73"/>
    </x:row>
    <x:row r="89" ht="45" customHeight="1">
      <x:c r="A89" s="60" t="n">
        <x:v>83</x:v>
      </x:c>
      <x:c r="B89" s="58" t="str">
        <x:v>拜年红包阵</x:v>
      </x:c>
      <x:c r="C89" s="54" t="str">
        <x:v>合并</x:v>
      </x:c>
      <x:c r="D89" s="54" t="str">
        <x:v>合并</x:v>
      </x:c>
      <x:c r="E89" s="64" t="n">
        <x:v>82</x:v>
      </x:c>
      <x:c r="F89" s="52" t="str">
        <x:v>82 饭局排座大师（暂缓）</x:v>
      </x:c>
      <x:c r="G89" s="52" t="str">
        <x:v>称谓、寿星身份与发红包条件构成的语法并不普遍直觉；改变身份刷红包还容易喧宾夺主，和饭局关系传播重复。</x:v>
      </x:c>
      <x:c r="H89" s="52" t="str">
        <x:v>保留拜年作为82的一种整体事件，红包作为一次性回应；移除可自由改称谓的经济发动机。</x:v>
      </x:c>
      <x:c r="I89" s="52" t="str">
        <x:v>选择向一组宾客发起一次祝福事件。</x:v>
      </x:c>
      <x:c r="J89" s="52" t="str">
        <x:v>沿用82的布置与传播循环，每位宾客对本次事件只响应一次，消耗关系或礼物资源。</x:v>
      </x:c>
      <x:c r="K89" s="52" t="str">
        <x:v>一种年节场景、一个礼物资源；无复杂族谱和无限经济循环。</x:v>
      </x:c>
      <x:c r="L89" s="52" t="str">
        <x:v>该事件是否要求根据关系布局改变使用时机；若仅自动发钱则只留演出。</x:v>
      </x:c>
      <x:c r="M89" s="52" t="str">
        <x:v>备选</x:v>
      </x:c>
      <x:c r="N89" s="52" t="str">
        <x:v>每个角色有不同回应条件，祝福、饰品与座次可接力触发</x:v>
      </x:c>
      <x:c r="O89" s="52" t="str">
        <x:v>拜年红包阵</x:v>
      </x:c>
      <x:c r="P89" s="72" t="n">
        <x:v>82</x:v>
      </x:c>
    </x:row>
    <x:row r="90" ht="57.75" customHeight="1">
      <x:c r="A90" s="61" t="n">
        <x:v>84</x:v>
      </x:c>
      <x:c r="B90" s="59" t="str">
        <x:v>群聊管理员</x:v>
      </x:c>
      <x:c r="C90" s="55" t="str">
        <x:v>移出</x:v>
      </x:c>
      <x:c r="D90" s="55" t="str">
        <x:v>移出</x:v>
      </x:c>
      <x:c r="E90" s="65"/>
      <x:c r="F90" s="53" t="str"/>
      <x:c r="G90" s="53" t="str">
        <x:v>压缩通知和完成任务主要是效率工具愿望；原案没有清楚的对抗、构筑目标和可感知的选择代价，消息标签需大量解释。</x:v>
      </x:c>
      <x:c r="H90" s="53" t="str">
        <x:v>本轮不做。可以把消息队列外观借给已有排程系统，但须先有独立可玩规则。</x:v>
      </x:c>
      <x:c r="I90" s="53" t="str">
        <x:v>原案只有把多条信息压成少条，尚未定义值得反复做的选择。</x:v>
      </x:c>
      <x:c r="J90" s="53" t="str">
        <x:v>通知增加、压缩、完成任务是操作链，尚未给出失败压力与经济取舍。</x:v>
      </x:c>
      <x:c r="K90" s="53" t="str">
        <x:v>不建设虚构聊天内容库或机器人配置系统。</x:v>
      </x:c>
      <x:c r="L90" s="53" t="str">
        <x:v>若没有文字梗，玩家是否仍愿意反复处理消息；未证明前移出。</x:v>
      </x:c>
      <x:c r="M90" s="53" t="str">
        <x:v>备选</x:v>
      </x:c>
      <x:c r="N90" s="53" t="str">
        <x:v>消息链成为实体资源，群规与机器人可以压缩、分流和转化消息</x:v>
      </x:c>
      <x:c r="O90" s="53" t="str">
        <x:v>群聊管理员</x:v>
      </x:c>
      <x:c r="P90" s="73"/>
    </x:row>
    <x:row r="91" ht="45" customHeight="1">
      <x:c r="A91" s="60" t="n">
        <x:v>85</x:v>
      </x:c>
      <x:c r="B91" s="58" t="str">
        <x:v>谈判换条件</x:v>
      </x:c>
      <x:c r="C91" s="54" t="str">
        <x:v>合并</x:v>
      </x:c>
      <x:c r="D91" s="54" t="str">
        <x:v>合并</x:v>
      </x:c>
      <x:c r="E91" s="64" t="n">
        <x:v>46</x:v>
      </x:c>
      <x:c r="F91" s="52" t="str">
        <x:v>46 旧货拼装行（机制储备）；原并入 49，本轮统一指向最终归属</x:v>
      </x:c>
      <x:c r="G91" s="52" t="str">
        <x:v>透明需求下的条件交换已经是街坊交换的核心；加入自由语言谈判会显著增加解释和内容负担。</x:v>
      </x:c>
      <x:c r="H91" s="52" t="str">
        <x:v>只给49增加可选的交付延期或分批交付，价格变化明确展示；不做任意对话理解。</x:v>
      </x:c>
      <x:c r="I91" s="52" t="str">
        <x:v>在两份已列明的交换合同中选择范围和时间。</x:v>
      </x:c>
      <x:c r="J91" s="52" t="str">
        <x:v>沿用49的获取、改造、交换循环，延期占信誉或未来容量。</x:v>
      </x:c>
      <x:c r="K91" s="52" t="str">
        <x:v>最多两个合同修饰项；不新增话术、人格和谈判树。</x:v>
      </x:c>
      <x:c r="L91" s="52" t="str">
        <x:v>延期是否会因库存与未来需求而改变价值；若所有合同都先拖延最优则不保留。</x:v>
      </x:c>
      <x:c r="M91" s="52" t="str">
        <x:v>备选</x:v>
      </x:c>
      <x:c r="N91" s="52" t="str">
        <x:v>条件是可拆分的卡片，改变交付时间或范围会改写双方价值</x:v>
      </x:c>
      <x:c r="O91" s="52" t="str">
        <x:v>谈判换条件</x:v>
      </x:c>
      <x:c r="P91" s="72" t="n">
        <x:v>49</x:v>
      </x:c>
    </x:row>
    <x:row r="92" ht="45" customHeight="1">
      <x:c r="A92" s="61" t="n">
        <x:v>86</x:v>
      </x:c>
      <x:c r="B92" s="59" t="str">
        <x:v>婚礼救场王</x:v>
      </x:c>
      <x:c r="C92" s="55" t="str">
        <x:v>暂缓</x:v>
      </x:c>
      <x:c r="D92" s="55" t="str">
        <x:v>暂缓</x:v>
      </x:c>
      <x:c r="E92" s="65"/>
      <x:c r="F92" s="53" t="str"/>
      <x:c r="G92" s="53" t="str">
        <x:v>目前高潮依赖设计者预写‘坏话筒接合唱’等段子，未证明多种事件能由同一规则生成不同处理方式。</x:v>
      </x:c>
      <x:c r="H92" s="53" t="str">
        <x:v>把意外抽象成停电、缺员、超时，环节只标设备、人数和时长；先验证资源调度，演出后置。</x:v>
      </x:c>
      <x:c r="I92" s="53" t="str">
        <x:v>将一个环节延期、替换或移动到前后位置。</x:v>
      </x:c>
      <x:c r="J92" s="53" t="str">
        <x:v>预告部分意外，花有限准备资源安排节目，在保持宾客耐心的同时完成核心仪式，收益用于下一场备选资源。</x:v>
      </x:c>
      <x:c r="K92" s="53" t="str">
        <x:v>六个节目、三类故障、一场婚礼；不为每种组合写独有过场。</x:v>
      </x:c>
      <x:c r="L92" s="53" t="str">
        <x:v>同一故障是否至少能靠换顺序或换资源两种方式处理；如果需要专用段子才能成立，继续暂缓。</x:v>
      </x:c>
      <x:c r="M92" s="53" t="str">
        <x:v>备选</x:v>
      </x:c>
      <x:c r="N92" s="53" t="str">
        <x:v>意外能接成新节目，临场重排环节改变全场情绪</x:v>
      </x:c>
      <x:c r="O92" s="53" t="str">
        <x:v>婚礼救场王</x:v>
      </x:c>
      <x:c r="P92" s="73"/>
    </x:row>
    <x:row r="93" ht="45" customHeight="1">
      <x:c r="A93" s="60" t="n">
        <x:v>87</x:v>
      </x:c>
      <x:c r="B93" s="58" t="str">
        <x:v>家庭任务接龙</x:v>
      </x:c>
      <x:c r="C93" s="54" t="str">
        <x:v>合并</x:v>
      </x:c>
      <x:c r="D93" s="54" t="str">
        <x:v>合并</x:v>
      </x:c>
      <x:c r="E93" s="64" t="n">
        <x:v>66</x:v>
      </x:c>
      <x:c r="F93" s="52" t="str">
        <x:v>66 一天跑腿局（主候选）</x:v>
      </x:c>
      <x:c r="G93" s="52" t="str">
        <x:v>顺路与共享准备状态属于66的时间排程；家庭成员和家务大全会使轻量循环迅速变成生活模拟。</x:v>
      </x:c>
      <x:c r="H93" s="52" t="str">
        <x:v>只保留‘完成任务留下热水、空容器等可复用产物’，作为66的少量任务卡。</x:v>
      </x:c>
      <x:c r="I93" s="52" t="str">
        <x:v>先完成一项任务，让副产物服务下一项。</x:v>
      </x:c>
      <x:c r="J93" s="52" t="str">
        <x:v>沿用66的承接、排程、执行循环；副产物占有限携带空间，不能无限缓存。</x:v>
      </x:c>
      <x:c r="K93" s="52" t="str">
        <x:v>两种副产物，不加入家庭关系、育儿和全员作息。</x:v>
      </x:c>
      <x:c r="L93" s="52" t="str">
        <x:v>先做某任务是否因后续需求而变好，而非所有局都照固定家务流程执行。</x:v>
      </x:c>
      <x:c r="M93" s="52" t="str">
        <x:v>备选</x:v>
      </x:c>
      <x:c r="N93" s="52" t="str">
        <x:v>完成任务留下可复用状态，接力安排能让一个动作解决多项需求</x:v>
      </x:c>
      <x:c r="O93" s="52" t="str">
        <x:v>家庭任务接龙</x:v>
      </x:c>
      <x:c r="P93" s="72" t="n">
        <x:v>66</x:v>
      </x:c>
    </x:row>
    <x:row r="94" ht="45" customHeight="1">
      <x:c r="A94" s="61" t="n">
        <x:v>88</x:v>
      </x:c>
      <x:c r="B94" s="59" t="str">
        <x:v>辩论接梗王</x:v>
      </x:c>
      <x:c r="C94" s="55" t="str">
        <x:v>移出</x:v>
      </x:c>
      <x:c r="D94" s="55" t="str">
        <x:v>移出</x:v>
      </x:c>
      <x:c r="E94" s="65"/>
      <x:c r="F94" s="53" t="str"/>
      <x:c r="G94" s="53" t="str">
        <x:v>笑点、逻辑与听众偏好难靠少量稳定规则判定；固定关键词接力易变标签游戏，内容新鲜感又要求持续写段子。</x:v>
      </x:c>
      <x:c r="H94" s="53" t="str">
        <x:v>本轮移出；只在明确做对白内容型游戏、愿意承担题库成本时重启。</x:v>
      </x:c>
      <x:c r="I94" s="53" t="str">
        <x:v>选择一句话的收益目前依赖作者评分，缺少玩家可预测的因果。</x:v>
      </x:c>
      <x:c r="J94" s="53" t="str">
        <x:v>当前循环是抽句子并命中作者预设，未证明非加法协同来自系统。</x:v>
      </x:c>
      <x:c r="K94" s="53" t="str">
        <x:v>不做生成式对话和开放语义评分。</x:v>
      </x:c>
      <x:c r="L94" s="53" t="str">
        <x:v>不依赖作者解释时玩家能否预测回应，并从失败中学到可迁移规则；不能则不属于本轮方向。</x:v>
      </x:c>
      <x:c r="M94" s="53" t="str">
        <x:v>备选</x:v>
      </x:c>
      <x:c r="N94" s="53" t="str">
        <x:v>上一句留下的关键词可变为下一句资源，笑点与逻辑各有目标</x:v>
      </x:c>
      <x:c r="O94" s="53" t="str">
        <x:v>辩论接梗王</x:v>
      </x:c>
      <x:c r="P94" s="73"/>
    </x:row>
    <x:row r="95" ht="45" customHeight="1">
      <x:c r="A95" s="60" t="n">
        <x:v>89</x:v>
      </x:c>
      <x:c r="B95" s="58" t="str">
        <x:v>灯会连锁局</x:v>
      </x:c>
      <x:c r="C95" s="54" t="str">
        <x:v>合并</x:v>
      </x:c>
      <x:c r="D95" s="54" t="str">
        <x:v>合并</x:v>
      </x:c>
      <x:c r="E95" s="64" t="n">
        <x:v>109</x:v>
      </x:c>
      <x:c r="F95" s="52" t="str">
        <x:v>109 皮影搬运台（主候选）</x:v>
      </x:c>
      <x:c r="G95" s="52" t="str">
        <x:v>猜谜和投影拼图属于两套验证；巨龙成形是演出成果，不自动提供后续决策，与皮影投影族重合。</x:v>
      </x:c>
      <x:c r="H95" s="52" t="str">
        <x:v>只保留灯笼外形和投影遮挡组件给109；删谜底知识测试和每关专用图案。</x:v>
      </x:c>
      <x:c r="I95" s="52" t="str">
        <x:v>移动一个灯源，让影子改变实体路径或占位。</x:v>
      </x:c>
      <x:c r="J95" s="52" t="str">
        <x:v>沿用109的投影布置循环，灯会作为可替换美术主题。</x:v>
      </x:c>
      <x:c r="K95" s="52" t="str">
        <x:v>最多一套灯笼皮肤和一种遮片；不新增谜面库。</x:v>
      </x:c>
      <x:c r="L95" s="52" t="str">
        <x:v>投影改变是否真的影响下一拍状态；仅拼出漂亮图案则归演出内容。</x:v>
      </x:c>
      <x:c r="M95" s="52" t="str">
        <x:v>备选</x:v>
      </x:c>
      <x:c r="N95" s="52" t="str">
        <x:v>灯笼投影互相补全图案，谜底又解锁改变光路的组件</x:v>
      </x:c>
      <x:c r="O95" s="52" t="str">
        <x:v>灯会连锁局</x:v>
      </x:c>
      <x:c r="P95" s="72" t="n">
        <x:v>109</x:v>
      </x:c>
    </x:row>
    <x:row r="96" ht="45" customHeight="1">
      <x:c r="A96" s="61" t="n">
        <x:v>90</x:v>
      </x:c>
      <x:c r="B96" s="59" t="str">
        <x:v>合照站位大师</x:v>
      </x:c>
      <x:c r="C96" s="55" t="str">
        <x:v>暂缓</x:v>
      </x:c>
      <x:c r="D96" s="55" t="str">
        <x:v>暂缓</x:v>
      </x:c>
      <x:c r="E96" s="65"/>
      <x:c r="F96" s="53" t="str"/>
      <x:c r="G96" s="53" t="str">
        <x:v>遮挡与取景是好入口，但‘人物技能’和关系得分显得外加；每张合照可能更像一次性约束谜题。</x:v>
      </x:c>
      <x:c r="H96" s="53" t="str">
        <x:v>去掉技能，把目标收束为可见率、团体相邻和相纸面积；相机道具必须改变这些同一组约束。</x:v>
      </x:c>
      <x:c r="I96" s="53" t="str">
        <x:v>移动一人、调整镜头或使用一次反光道具，然后按快门。</x:v>
      </x:c>
      <x:c r="J96" s="53" t="str">
        <x:v>选择可承接的团体订单，有限步数布置，以相纸预算交付；保留镜头道具应对下一批人。</x:v>
      </x:c>
      <x:c r="K96" s="53" t="str">
        <x:v>六人、两种镜头、三类公开需求、三张订单；无自由表情和关系叙事。</x:v>
      </x:c>
      <x:c r="L96" s="53" t="str">
        <x:v>同一镜头是否因团体变化而改用途，且存在多种有代价的构图；若每关只剩唯一答案则定位为解谜。</x:v>
      </x:c>
      <x:c r="M96" s="53" t="str">
        <x:v>备选</x:v>
      </x:c>
      <x:c r="N96" s="53" t="str">
        <x:v>前后排遮挡与反光改变人物技能，快门时统一结算关系组合</x:v>
      </x:c>
      <x:c r="O96" s="53" t="str">
        <x:v>合照站位大师</x:v>
      </x:c>
      <x:c r="P96" s="73"/>
    </x:row>
    <x:row r="97" ht="45" customHeight="1">
      <x:c r="A97" s="60" t="n">
        <x:v>91</x:v>
      </x:c>
      <x:c r="B97" s="58" t="str">
        <x:v>猫咪多米诺</x:v>
      </x:c>
      <x:c r="C97" s="54" t="str">
        <x:v>重构</x:v>
      </x:c>
      <x:c r="D97" s="54" t="str">
        <x:v>主候选池</x:v>
      </x:c>
      <x:c r="E97" s="64"/>
      <x:c r="F97" s="52" t="str"/>
      <x:c r="G97" s="52" t="str">
        <x:v>猫的习性有直接表现，但不可预测的卖萌会破坏布置因果；目前跨多件家具的连锁接近预写机关。</x:v>
      </x:c>
      <x:c r="H97" s="52" t="str">
        <x:v>只定义追点、推物、进箱三种稳定行为，显示下一动作；玩具消耗次数，猫不能随时任意指挥。</x:v>
      </x:c>
      <x:c r="I97" s="52" t="str">
        <x:v>摆一个诱饵或移动一件家具，引导猫执行下一步。</x:v>
      </x:c>
      <x:c r="J97" s="52" t="str">
        <x:v>有限诱饵完成取物任务，保留家具布置应对下一轮目标；奖励新的家具功能或玩具，而非仅增加猫数量。</x:v>
      </x:c>
      <x:c r="K97" s="52" t="str">
        <x:v>两只猫、三行为、六件家具、三个连续任务；不用自然物理推杯和复杂性格AI。</x:v>
      </x:c>
      <x:c r="L97" s="52" t="str">
        <x:v>不用手写每条连锁，玩家能否组合旧家具解决新任务；若固定摆放即可自动跑完所有关则不扩内容。</x:v>
      </x:c>
      <x:c r="M97" s="52" t="str">
        <x:v>备选</x:v>
      </x:c>
      <x:c r="N97" s="52" t="str">
        <x:v>猫的习性是可引导的自动行为，家具位置把捣乱变成任务链</x:v>
      </x:c>
      <x:c r="O97" s="52" t="str">
        <x:v>猫咪多米诺</x:v>
      </x:c>
      <x:c r="P97" s="72"/>
    </x:row>
    <x:row r="98" ht="45" customHeight="1">
      <x:c r="A98" s="61" t="n">
        <x:v>92</x:v>
      </x:c>
      <x:c r="B98" s="59" t="str">
        <x:v>蚁群画路师</x:v>
      </x:c>
      <x:c r="C98" s="55" t="str">
        <x:v>重构</x:v>
      </x:c>
      <x:c r="D98" s="55" t="str">
        <x:v>主候选池</x:v>
      </x:c>
      <x:c r="E98" s="65"/>
      <x:c r="F98" s="53" t="str"/>
      <x:c r="G98" s="53" t="str">
        <x:v>画线到大量蚂蚁行动的反馈很强；多颜色代表多指令容易变隐形程序，路线最优后也可能没有继续选择。</x:v>
      </x:c>
      <x:c r="H98" s="53" t="str">
        <x:v>画线只代表通路，工作由起终点决定；让搭桥蚂蚁暂时退出搬运，切割会改变货物大小与可用路线。</x:v>
      </x:c>
      <x:c r="I98" s="53" t="str">
        <x:v>画或擦一条路线，并分配有限蚂蚁搭桥或搬运。</x:v>
      </x:c>
      <x:c r="J98" s="53" t="str">
        <x:v>预告下一批食物与洪水，运行固定时间收集粮食；用粮食补充蚁种或留作过冬目标，改变下一波运力。</x:v>
      </x:c>
      <x:c r="K98" s="53" t="str">
        <x:v>两个巢口、三种蚁、三类食物、两条可编辑路线；无自由指令和多层寻路。</x:v>
      </x:c>
      <x:c r="L98" s="53" t="str">
        <x:v>同一批蚂蚁在桥梁、切割与搬运间是否需要重新分配；若一直增加蚂蚁就足够，则构筑未成立。</x:v>
      </x:c>
      <x:c r="M98" s="53" t="str">
        <x:v>备选</x:v>
      </x:c>
      <x:c r="N98" s="53" t="str">
        <x:v>画不同气味路线分配搬运、切割和搭桥，交叉点决定分工</x:v>
      </x:c>
      <x:c r="O98" s="53" t="str">
        <x:v>蚁群画路师</x:v>
      </x:c>
      <x:c r="P98" s="73"/>
    </x:row>
    <x:row r="99" ht="45" customHeight="1">
      <x:c r="A99" s="60" t="n">
        <x:v>93</x:v>
      </x:c>
      <x:c r="B99" s="58" t="str">
        <x:v>蜜蜂花路</x:v>
      </x:c>
      <x:c r="C99" s="54" t="str">
        <x:v>合并</x:v>
      </x:c>
      <x:c r="D99" s="54" t="str">
        <x:v>合并</x:v>
      </x:c>
      <x:c r="E99" s="64" t="n">
        <x:v>95</x:v>
      </x:c>
      <x:c r="F99" s="52" t="str">
        <x:v>95 珊瑚共生城（主候选）</x:v>
      </x:c>
      <x:c r="G99" s="52" t="str">
        <x:v>授粉路线与生态资源传递重合；花粉顺序生成新品种需要额外配方语法，未证明比可见资源更易懂。</x:v>
      </x:c>
      <x:c r="H99" s="52" t="str">
        <x:v>只保留移动搬运者把一个区域资源带到另一区域，作为95的候选；不加入遗传学和无限花种。</x:v>
      </x:c>
      <x:c r="I99" s="52" t="str">
        <x:v>选择让搬运生物去哪个缺资源的区域。</x:v>
      </x:c>
      <x:c r="J99" s="52" t="str">
        <x:v>并入95的生态供给循环，移动者占空间和维护成本，代替部分固定连接。</x:v>
      </x:c>
      <x:c r="K99" s="52" t="str">
        <x:v>一种移动供给单位，不同时增加蜂巢和花粉配方。</x:v>
      </x:c>
      <x:c r="L99" s="52" t="str">
        <x:v>移动搬运与固定邻接是否各有适用局面；否则删除移动者。</x:v>
      </x:c>
      <x:c r="M99" s="52" t="str">
        <x:v>备选</x:v>
      </x:c>
      <x:c r="N99" s="52" t="str">
        <x:v>采花顺序改变携带花粉，沿路可把其他花改成新品种</x:v>
      </x:c>
      <x:c r="O99" s="52" t="str">
        <x:v>蜜蜂花路</x:v>
      </x:c>
      <x:c r="P99" s="72" t="n">
        <x:v>95</x:v>
      </x:c>
    </x:row>
    <x:row r="100" ht="45" customHeight="1">
      <x:c r="A100" s="61" t="n">
        <x:v>94</x:v>
      </x:c>
      <x:c r="B100" s="59" t="str">
        <x:v>蒲公英远征</x:v>
      </x:c>
      <x:c r="C100" s="55" t="str">
        <x:v>暂缓</x:v>
      </x:c>
      <x:c r="D100" s="55" t="str">
        <x:v>暂缓</x:v>
      </x:c>
      <x:c r="E100" s="65"/>
      <x:c r="F100" s="53" t="str"/>
      <x:c r="G100" s="53" t="str">
        <x:v>借风与繁殖画面易懂，但种子改变风场后果难预测；原案尚不能区分玩家决策、落点运气和关卡作者安排。</x:v>
      </x:c>
      <x:c r="H100" s="53" t="str">
        <x:v>先把风简化为固定箭头与三种地形影响，落点可预览；每轮必须选择保留成株或释放有限种子。</x:v>
      </x:c>
      <x:c r="I100" s="53" t="str">
        <x:v>选择释放时机与种子，让其沿预告风路落到目标地块。</x:v>
      </x:c>
      <x:c r="J100" s="53" t="str">
        <x:v>占据地块获得下一代资源，再选择改变环境或继续扩散，应对提前显示的下一阵风。</x:v>
      </x:c>
      <x:c r="K100" s="53" t="str">
        <x:v>单屏六个落点、三种种子、三阵风；不用实时气流和自由生长。</x:v>
      </x:c>
      <x:c r="L100" s="53" t="str">
        <x:v>第一次种植是否能改变第二次可选落点，且存在不同可行扩散顺序；若主要等待风吹则维持暂缓。</x:v>
      </x:c>
      <x:c r="M100" s="53" t="str">
        <x:v>备选</x:v>
      </x:c>
      <x:c r="N100" s="53" t="str">
        <x:v>落点植物改变下一阵风，后代种子可带走环境特性</x:v>
      </x:c>
      <x:c r="O100" s="53" t="str">
        <x:v>蒲公英远征</x:v>
      </x:c>
      <x:c r="P100" s="73"/>
    </x:row>
    <x:row r="101" ht="45" customHeight="1">
      <x:c r="A101" s="60" t="n">
        <x:v>95</x:v>
      </x:c>
      <x:c r="B101" s="58" t="str">
        <x:v>珊瑚共生城</x:v>
      </x:c>
      <x:c r="C101" s="54" t="str">
        <x:v>保留深化</x:v>
      </x:c>
      <x:c r="D101" s="54" t="str">
        <x:v>主候选池</x:v>
      </x:c>
      <x:c r="E101" s="64"/>
      <x:c r="F101" s="52" t="str"/>
      <x:c r="G101" s="52" t="str">
        <x:v>副产物成为邻居输入能产生非加法协同，状态能统一显示；最大问题是闭环建立后只剩挂机。</x:v>
      </x:c>
      <x:c r="H101" s="52" t="str">
        <x:v>采用幻想化两资源规则；每轮完成出货会移走部分生物，让成熟网络必须在交付与维持产能之间取舍。</x:v>
      </x:c>
      <x:c r="I101" s="52" t="str">
        <x:v>放置或采收一个生物，改变邻接供给。</x:v>
      </x:c>
      <x:c r="J101" s="52" t="str">
        <x:v>从公开订单中选择交付目标，运行几个生长拍，收获换新物种或扩容；被取走的节点会影响下一轮供给。</x:v>
      </x:c>
      <x:c r="K101" s="52" t="str">
        <x:v>九格缸、六种生物、两种资源、五轮订单；不模拟真实水质与完整生态。</x:v>
      </x:c>
      <x:c r="L101" s="52" t="str">
        <x:v>采收关键节点是否改变后续策略，普通物种能否拼出可用网络；若搭出永动闭环后再无选择则不扩物种。</x:v>
      </x:c>
      <x:c r="M101" s="52" t="str">
        <x:v>备选</x:v>
      </x:c>
      <x:c r="N101" s="52" t="str">
        <x:v>生物的废物、遮荫与水流可供给其他生物，形成可调生态链</x:v>
      </x:c>
      <x:c r="O101" s="52" t="str">
        <x:v>珊瑚共生城</x:v>
      </x:c>
      <x:c r="P101" s="72"/>
    </x:row>
    <x:row r="102" ht="45" customHeight="1">
      <x:c r="A102" s="61" t="n">
        <x:v>96</x:v>
      </x:c>
      <x:c r="B102" s="59" t="str">
        <x:v>蘑菇地下网</x:v>
      </x:c>
      <x:c r="C102" s="55" t="str">
        <x:v>合并</x:v>
      </x:c>
      <x:c r="D102" s="55" t="str">
        <x:v>合并</x:v>
      </x:c>
      <x:c r="E102" s="65" t="n">
        <x:v>95</x:v>
      </x:c>
      <x:c r="F102" s="53" t="str">
        <x:v>95 珊瑚共生城（主候选）</x:v>
      </x:c>
      <x:c r="G102" s="53" t="str">
        <x:v>营养网络、分配和采收与95共享循环；额外地上地下两张图提高观察负担。</x:v>
      </x:c>
      <x:c r="H102" s="53" t="str">
        <x:v>只保留采收产物后留下低效根基的机制，帮助95提供恢复与转型；不加整套菌丝布线。</x:v>
      </x:c>
      <x:c r="I102" s="53" t="str">
        <x:v>选择整株出售，或只采产物并保留根基。</x:v>
      </x:c>
      <x:c r="J102" s="53" t="str">
        <x:v>并入95的交付与网络维持取舍，根基占空间且需要资源重新生长。</x:v>
      </x:c>
      <x:c r="K102" s="53" t="str">
        <x:v>一种可留根物种，不增加地下图层。</x:v>
      </x:c>
      <x:c r="L102" s="53" t="str">
        <x:v>保留根基是否在短期收益和长期恢复之间产生选择，而非每次都必须保留。</x:v>
      </x:c>
      <x:c r="M102" s="53" t="str">
        <x:v>备选</x:v>
      </x:c>
      <x:c r="N102" s="53" t="str">
        <x:v>地上采走蘑菇后地下网络仍保留能力，断网和接网改变分配</x:v>
      </x:c>
      <x:c r="O102" s="53" t="str">
        <x:v>蘑菇地下网</x:v>
      </x:c>
      <x:c r="P102" s="73" t="n">
        <x:v>95</x:v>
      </x:c>
    </x:row>
    <x:row r="103" ht="45" customHeight="1">
      <x:c r="A103" s="60" t="n">
        <x:v>97</x:v>
      </x:c>
      <x:c r="B103" s="58" t="str">
        <x:v>寄居蟹豪宅</x:v>
      </x:c>
      <x:c r="C103" s="54" t="str">
        <x:v>重构</x:v>
      </x:c>
      <x:c r="D103" s="54" t="str">
        <x:v>主候选池</x:v>
      </x:c>
      <x:c r="E103" s="64"/>
      <x:c r="F103" s="52" t="str"/>
      <x:c r="G103" s="52" t="str">
        <x:v>垃圾壳与战斗的组合不能直接作为差异化，常规动作战斗又会占主要成本；原案重量代价只是熟悉装备换皮。</x:v>
      </x:c>
      <x:c r="H103" s="52" t="str">
        <x:v>改为‘寄居蟹搬家’：二维潮汐运输。载货、浮力和共生工具争用容量，删常规动作RPG战斗与任意装甲拼装。</x:v>
      </x:c>
      <x:c r="I103" s="52" t="str">
        <x:v>捡壳、装货、卸货，并选择退潮步行或涨潮漂行路线。</x:v>
      </x:c>
      <x:c r="J103" s="52" t="str">
        <x:v>每轮预告潮位和运输需求，送达换壳或工具；保留货物与装备会改变下一轮负载，重货可临时当锚但不能重复售卖。</x:v>
      </x:c>
      <x:c r="K103" s="52" t="str">
        <x:v>一张离散潮汐图、三种完整壳、四类货物、三个挂件、五次潮变；无连续浮力和战斗技能树。</x:v>
      </x:c>
      <x:c r="L103" s="52" t="str">
        <x:v>卸重是否确实让壳由沉底步行变为漂行、打开新路径；不同壳是否改变路线与取货量，而非仅加容量。</x:v>
      </x:c>
      <x:c r="M103" s="52" t="str">
        <x:v>首轮候选</x:v>
      </x:c>
      <x:c r="N103" s="52" t="str">
        <x:v>壳也能是锅、杯子或玩具车，外形、移动方式与装备空间一起改变</x:v>
      </x:c>
      <x:c r="O103" s="52" t="str">
        <x:v>寄居蟹潮汐搬家</x:v>
      </x:c>
      <x:c r="P103" s="72"/>
    </x:row>
    <x:row r="104" ht="45" customHeight="1">
      <x:c r="A104" s="61" t="n">
        <x:v>98</x:v>
      </x:c>
      <x:c r="B104" s="59" t="str">
        <x:v>候鸟编队</x:v>
      </x:c>
      <x:c r="C104" s="55" t="str">
        <x:v>暂缓</x:v>
      </x:c>
      <x:c r="D104" s="55" t="str">
        <x:v>暂缓</x:v>
      </x:c>
      <x:c r="E104" s="65"/>
      <x:c r="F104" s="53" t="str"/>
      <x:c r="G104" s="53" t="str">
        <x:v>人字编队外观熟悉，具体气流规则却不熟；如果每只鸟只提供邻接加成，飞行题材仅是布阵包装。</x:v>
      </x:c>
      <x:c r="H104" s="53" t="str">
        <x:v>先只保留领飞消耗、后排恢复和固定逆风段，不引入真实风场；队形变化要改变谁承担代价。</x:v>
      </x:c>
      <x:c r="I104" s="53" t="str">
        <x:v>更换领飞鸟或调整一个队位。</x:v>
      </x:c>
      <x:c r="J104" s="53" t="str">
        <x:v>预告下一段航路，在队伍疲劳和迁徙距离间取舍，抵达休息点后选择补给或新成员。</x:v>
      </x:c>
      <x:c r="K104" s="53" t="str">
        <x:v>四只鸟、三种角色、三段路线；固定阵位，无自主飞行。</x:v>
      </x:c>
      <x:c r="L104" s="53" t="str">
        <x:v>轮换是否随路段和队员变化，且不能靠固定轮换周期解决全部情况；否则只保留演出。</x:v>
      </x:c>
      <x:c r="M104" s="53" t="str">
        <x:v>备选</x:v>
      </x:c>
      <x:c r="N104" s="53" t="str">
        <x:v>不同鸟放在不同位置会改变整队的风场和技能传递</x:v>
      </x:c>
      <x:c r="O104" s="53" t="str">
        <x:v>候鸟编队</x:v>
      </x:c>
      <x:c r="P104" s="73"/>
    </x:row>
    <x:row r="105" ht="45" customHeight="1">
      <x:c r="A105" s="60" t="n">
        <x:v>99</x:v>
      </x:c>
      <x:c r="B105" s="58" t="str">
        <x:v>八臂海盗</x:v>
      </x:c>
      <x:c r="C105" s="54" t="str">
        <x:v>暂缓</x:v>
      </x:c>
      <x:c r="D105" s="54" t="str">
        <x:v>暂缓</x:v>
      </x:c>
      <x:c r="E105" s="64"/>
      <x:c r="F105" s="52" t="str"/>
      <x:c r="G105" s="52" t="str">
        <x:v>八手同时工作是奇观，但逐手控制过载、自动执行又变动作编排；装备数量更多并不自动产生更好的决定。</x:v>
      </x:c>
      <x:c r="H105" s="52" t="str">
        <x:v>先限制为两组触手和三项动作，工具切换争用同一体力与握持位；证明分工有趣后才增加手臂。</x:v>
      </x:c>
      <x:c r="I105" s="52" t="str">
        <x:v>在航行、保护和搬货之间重新分配工具与触手。</x:v>
      </x:c>
      <x:c r="J105" s="52" t="str">
        <x:v>预告航段危险，有限时间完成劫货或送货，收益换工具；保留宝物会减少可操作工具位。</x:v>
      </x:c>
      <x:c r="K105" s="52" t="str">
        <x:v>固定二维船、四个握持位、三工具、两段航路；无登船战斗与多肢自由动画。</x:v>
      </x:c>
      <x:c r="L105" s="52" t="str">
        <x:v>重分配触手是否比自动全开更有价值；若单个正确配置能跑到底，八臂只是视觉噱头。</x:v>
      </x:c>
      <x:c r="M105" s="52" t="str">
        <x:v>备选</x:v>
      </x:c>
      <x:c r="N105" s="52" t="str">
        <x:v>触手各持一种工具，共享体力与空间，工具间可以传递物品</x:v>
      </x:c>
      <x:c r="O105" s="52" t="str">
        <x:v>八臂海盗</x:v>
      </x:c>
      <x:c r="P105" s="72"/>
    </x:row>
    <x:row r="106" ht="45" customHeight="1">
      <x:c r="A106" s="61" t="n">
        <x:v>100</x:v>
      </x:c>
      <x:c r="B106" s="59" t="str">
        <x:v>变色龙偷颜色</x:v>
      </x:c>
      <x:c r="C106" s="55" t="str">
        <x:v>合并</x:v>
      </x:c>
      <x:c r="D106" s="55" t="str">
        <x:v>合并</x:v>
      </x:c>
      <x:c r="E106" s="65" t="n">
        <x:v>17</x:v>
      </x:c>
      <x:c r="F106" s="53" t="str">
        <x:v>17 贴纸改造书（机制储备）</x:v>
      </x:c>
      <x:c r="G106" s="53" t="str">
        <x:v>吸走颜色改变属性与贴纸编辑同族；红苹果、红火焰都失去同一种能力并非直觉，需要大量例外才能自圆其说。</x:v>
      </x:c>
      <x:c r="H106" s="53" t="str">
        <x:v>把取色当成17的替代交互皮肤，只允许带明确属性图标的色块；颜色和图标同时显示，不解释任意物体颜色。</x:v>
      </x:c>
      <x:c r="I106" s="53" t="str">
        <x:v>从标记来源取一个能力，再贴到兼容目标。</x:v>
      </x:c>
      <x:c r="J106" s="53" t="str">
        <x:v>沿用17的有限资源编辑循环，取色会使来源失去该能力，形成借用与归还。</x:v>
      </x:c>
      <x:c r="K106" s="53" t="str">
        <x:v>三种属性、一种取色工具；无颜色混合大全和全场景改写。</x:v>
      </x:c>
      <x:c r="L106" s="53" t="str">
        <x:v>玩家能否在未见过但同类的目标上预测效果；若需要逐物体记配方，则删取色包装。</x:v>
      </x:c>
      <x:c r="M106" s="53" t="str">
        <x:v>备选</x:v>
      </x:c>
      <x:c r="N106" s="53" t="str">
        <x:v>颜色对应能力，吸走环境颜色会改变环境，涂回去可创造新用途</x:v>
      </x:c>
      <x:c r="O106" s="53" t="str">
        <x:v>变色龙偷颜色</x:v>
      </x:c>
      <x:c r="P106" s="73" t="n">
        <x:v>17</x:v>
      </x:c>
    </x:row>
    <x:row r="107" ht="57.75" customHeight="1">
      <x:c r="A107" s="60" t="n">
        <x:v>101</x:v>
      </x:c>
      <x:c r="B107" s="58" t="str">
        <x:v>年兽这一夜</x:v>
      </x:c>
      <x:c r="C107" s="54" t="str">
        <x:v>保留深化</x:v>
      </x:c>
      <x:c r="D107" s="54" t="str">
        <x:v>主候选池</x:v>
      </x:c>
      <x:c r="E107" s="64"/>
      <x:c r="F107" s="52" t="str"/>
      <x:c r="G107" s="52" t="str">
        <x:v>鞭炮、红绳和灯笼能共享一套点火、传播与驱赶反馈；原案四类效果若都只换成伤害颜色，便没有协同。</x:v>
      </x:c>
      <x:c r="H107" s="52" t="str">
        <x:v>红纸改变通路，灯笼显示预告，炮声推动年兽，火沿绳点燃设施；区分推走路线与直接减恐惧值，保留可回收设施。</x:v>
      </x:c>
      <x:c r="I107" s="52" t="str">
        <x:v>布置一个年节装置，再选择点燃时机。</x:v>
      </x:c>
      <x:c r="J107" s="52" t="str">
        <x:v>预告年兽入口和行动，有限年货引导其离开村口；剩余设施保留，奖励购买耗材或持久装置，下一波改变入口。</x:v>
      </x:c>
      <x:c r="K107" s="52" t="str">
        <x:v>两条街、四类装置、一个年兽模板、五波；不做真实火灾、烟花物理和完整村庄经营。</x:v>
      </x:c>
      <x:c r="L107" s="52" t="str">
        <x:v>一个炮仗是否因红绳和路障位置而改变后续路径；如果总是堆最贵烟花，应先修空间与耗材取舍。</x:v>
      </x:c>
      <x:c r="M107" s="52" t="str">
        <x:v>备选</x:v>
      </x:c>
      <x:c r="N107" s="52" t="str">
        <x:v>声音、光、火与红色分别作用，街道设施可传递和转换它们</x:v>
      </x:c>
      <x:c r="O107" s="52" t="str">
        <x:v>年兽这一夜</x:v>
      </x:c>
      <x:c r="P107" s="72"/>
    </x:row>
    <x:row r="108" ht="45" customHeight="1">
      <x:c r="A108" s="61" t="n">
        <x:v>102</x:v>
      </x:c>
      <x:c r="B108" s="59" t="str">
        <x:v>赶尸快递</x:v>
      </x:c>
      <x:c r="C108" s="55" t="str">
        <x:v>合并</x:v>
      </x:c>
      <x:c r="D108" s="55" t="str">
        <x:v>合并</x:v>
      </x:c>
      <x:c r="E108" s="65" t="n">
        <x:v>27</x:v>
      </x:c>
      <x:c r="F108" s="53" t="str">
        <x:v>27 贪吃蛇孵化场（主候选）</x:v>
      </x:c>
      <x:c r="G108" s="53" t="str">
        <x:v>不同身体节带功能、队列排序及分离协作与贪吃蛇孵化场接近；步伐、节拍、跟随和机关同时做会增加验证层。</x:v>
      </x:c>
      <x:c r="H108" s="53" t="str">
        <x:v>只把特殊队列节段当作27的可选模块或替代题材；移除节奏判定和预写喷嚏过沟桥段。</x:v>
      </x:c>
      <x:c r="I108" s="53" t="str">
        <x:v>调整一个队列节段的位置，决定保留还是分离使用。</x:v>
      </x:c>
      <x:c r="J108" s="53" t="str">
        <x:v>沿用27的身体资源分配循环，以队列前后触发为补充，不增加第二套运输关卡。</x:v>
      </x:c>
      <x:c r="K108" s="53" t="str">
        <x:v>最多两种节段能力，无复杂跟随AI和拍子系统。</x:v>
      </x:c>
      <x:c r="L108" s="53" t="str">
        <x:v>队列顺序是否影响可分离组合，而不是角色换皮；无额外选择时只存档题材。</x:v>
      </x:c>
      <x:c r="M108" s="53" t="str">
        <x:v>备选</x:v>
      </x:c>
      <x:c r="N108" s="53" t="str">
        <x:v>每个僵尸有特殊步伐，换位使队列跨障碍并连锁触发机关</x:v>
      </x:c>
      <x:c r="O108" s="53" t="str">
        <x:v>赶尸快递</x:v>
      </x:c>
      <x:c r="P108" s="73" t="n">
        <x:v>27</x:v>
      </x:c>
    </x:row>
    <x:row r="109" ht="45" customHeight="1">
      <x:c r="A109" s="60" t="n">
        <x:v>103</x:v>
      </x:c>
      <x:c r="B109" s="58" t="str">
        <x:v>龙王调水局</x:v>
      </x:c>
      <x:c r="C109" s="54" t="str">
        <x:v>合并</x:v>
      </x:c>
      <x:c r="D109" s="54" t="str">
        <x:v>合并</x:v>
      </x:c>
      <x:c r="E109" s="64" t="n">
        <x:v>56</x:v>
      </x:c>
      <x:c r="F109" s="52" t="str">
        <x:v>56 家电共生（暂缓）</x:v>
      </x:c>
      <x:c r="G109" s="52" t="str">
        <x:v>上游输出供给下游与家电副产物共享资源网络，云河任意搬运则会消除地形约束并扩大制作范围。</x:v>
      </x:c>
      <x:c r="H109" s="52" t="str">
        <x:v>只保留蓄水与延迟放水，作为56的缓冲节点候选；龙王题材可替代包装，但不叠加完整水利地图。</x:v>
      </x:c>
      <x:c r="I109" s="52" t="str">
        <x:v>把一份水现在供给设备，或存下留到下一拍。</x:v>
      </x:c>
      <x:c r="J109" s="52" t="str">
        <x:v>沿用56的供需循环，储水占空间，资源不凭延迟自行增殖。</x:v>
      </x:c>
      <x:c r="K109" s="52" t="str">
        <x:v>一个水库模块，不同时加入天气、地形、水坝和居民需求。</x:v>
      </x:c>
      <x:c r="L109" s="52" t="str">
        <x:v>储水是否让相同设备组合应对不同供给节奏；若始终越多越好则增加空间约束或删除。</x:v>
      </x:c>
      <x:c r="M109" s="52" t="str">
        <x:v>备选</x:v>
      </x:c>
      <x:c r="N109" s="52" t="str">
        <x:v>云和河流是可搬运的资源模块，雨水经历不同区域后改变能力</x:v>
      </x:c>
      <x:c r="O109" s="52" t="str">
        <x:v>龙王调水局</x:v>
      </x:c>
      <x:c r="P109" s="72" t="n">
        <x:v>56</x:v>
      </x:c>
    </x:row>
    <x:row r="110" ht="45" customHeight="1">
      <x:c r="A110" s="61" t="n">
        <x:v>104</x:v>
      </x:c>
      <x:c r="B110" s="59" t="str">
        <x:v>土地公一亩田</x:v>
      </x:c>
      <x:c r="C110" s="55" t="str">
        <x:v>合并</x:v>
      </x:c>
      <x:c r="D110" s="55" t="str">
        <x:v>合并</x:v>
      </x:c>
      <x:c r="E110" s="65" t="n">
        <x:v>95</x:v>
      </x:c>
      <x:c r="F110" s="53" t="str">
        <x:v>95 珊瑚共生城（主候选）</x:v>
      </x:c>
      <x:c r="G110" s="53" t="str">
        <x:v>前季残留供给下季是生态网络与生产循环的变体；在同块地叠加季节还需要额外抽象语法。</x:v>
      </x:c>
      <x:c r="H110" s="53" t="str">
        <x:v>只保留采收后环境短时残留作为95的一个物种机制，不同时做农场、祭品与四季编辑。</x:v>
      </x:c>
      <x:c r="I110" s="53" t="str">
        <x:v>选择何时收获，让下一株承接一次环境增益。</x:v>
      </x:c>
      <x:c r="J110" s="53" t="str">
        <x:v>并入95的收获与重建循环，残留仅持续有限拍数，占位决定是否能及时利用。</x:v>
      </x:c>
      <x:c r="K110" s="53" t="str">
        <x:v>一种残留效果，完整农田主题留作替代方案。</x:v>
      </x:c>
      <x:c r="L110" s="53" t="str">
        <x:v>残留能否让同一物种在不同前序下改价值；若只多一个固定倍率则不保留。</x:v>
      </x:c>
      <x:c r="M110" s="53" t="str">
        <x:v>备选</x:v>
      </x:c>
      <x:c r="N110" s="53" t="str">
        <x:v>小地块可以叠加季节，前季残留成为下一季作物的能力</x:v>
      </x:c>
      <x:c r="O110" s="53" t="str">
        <x:v>土地公一亩田</x:v>
      </x:c>
      <x:c r="P110" s="73" t="n">
        <x:v>95</x:v>
      </x:c>
    </x:row>
    <x:row r="111" ht="45" customHeight="1">
      <x:c r="A111" s="60" t="n">
        <x:v>105</x:v>
      </x:c>
      <x:c r="B111" s="58" t="str">
        <x:v>阎王判词局</x:v>
      </x:c>
      <x:c r="C111" s="54" t="str">
        <x:v>合并</x:v>
      </x:c>
      <x:c r="D111" s="54" t="str">
        <x:v>合并</x:v>
      </x:c>
      <x:c r="E111" s="64" t="n">
        <x:v>61</x:v>
      </x:c>
      <x:c r="F111" s="52" t="str">
        <x:v>61 印章办公室（暂缓）</x:v>
      </x:c>
      <x:c r="G111" s="52" t="str">
        <x:v>条件判词、灵魂标签和部门分流本质仍是印章流程，换神话包装无法解决隐形程序问题，反而增加叙事预期。</x:v>
      </x:c>
      <x:c r="H111" s="52" t="str">
        <x:v>只保留可见案卷与完整整章的替代包装；不增加自由判词、伦理评判和多世故事。</x:v>
      </x:c>
      <x:c r="I111" s="52" t="str">
        <x:v>给符合公开条件的案卷盖一枚整章并交付。</x:v>
      </x:c>
      <x:c r="J111" s="52" t="str">
        <x:v>沿用61待验证的证件处理循环，整案只结算一次，暂不进入主动池。</x:v>
      </x:c>
      <x:c r="K111" s="52" t="str">
        <x:v>三类架空案卷、无长对白，不另做轮回模拟。</x:v>
      </x:c>
      <x:c r="L111" s="52" t="str">
        <x:v>移除神话笑话后是否仍有可理解的资源取舍；否则只作为包装备选。</x:v>
      </x:c>
      <x:c r="M111" s="52" t="str">
        <x:v>备选</x:v>
      </x:c>
      <x:c r="N111" s="52" t="str">
        <x:v>判词由有限条件与结果组成，灵魂标签会触发不同部门的规则</x:v>
      </x:c>
      <x:c r="O111" s="52" t="str">
        <x:v>阎王判词局</x:v>
      </x:c>
      <x:c r="P111" s="72" t="n">
        <x:v>61</x:v>
      </x:c>
    </x:row>
    <x:row r="112" ht="45" customHeight="1">
      <x:c r="A112" s="61" t="n">
        <x:v>106</x:v>
      </x:c>
      <x:c r="B112" s="59" t="str">
        <x:v>大圣分身作业</x:v>
      </x:c>
      <x:c r="C112" s="55" t="str">
        <x:v>暂缓</x:v>
      </x:c>
      <x:c r="D112" s="55" t="str">
        <x:v>暂缓</x:v>
      </x:c>
      <x:c r="E112" s="65"/>
      <x:c r="F112" s="53" t="str"/>
      <x:c r="G112" s="53" t="str">
        <x:v>分身和重复动作能形成直观奇观，但动作片段复制会因物体状态变化失效，容易变为调试自动化流程。</x:v>
      </x:c>
      <x:c r="H112" s="53" t="str">
        <x:v>先录制抓、放、移动三个完整动作，回放前显示路径与失败原因；复制次数占分身和空间，不做任意动作识别。</x:v>
      </x:c>
      <x:c r="I112" s="53" t="str">
        <x:v>亲自完成一段搬运动作，决定由哪个分身重复以及何时停止。</x:v>
      </x:c>
      <x:c r="J112" s="53" t="str">
        <x:v>有限分身完成预告货运目标，收益换能力；下一轮物品位置变化迫使重分工。</x:v>
      </x:c>
      <x:c r="K112" s="53" t="str">
        <x:v>一屏桃园、两分身、三动作、两个货物点；无战斗与自由法术。</x:v>
      </x:c>
      <x:c r="L112" s="53" t="str">
        <x:v>新任务是否带来调整而非重录整条流程，玩家能否直接看懂失败；若主要在排查脚本则按小众自动化另立项。</x:v>
      </x:c>
      <x:c r="M112" s="53" t="str">
        <x:v>备选</x:v>
      </x:c>
      <x:c r="N112" s="53" t="str">
        <x:v>分身复制自己刚才的动作片段，换法术后同一片段产生不同用途</x:v>
      </x:c>
      <x:c r="O112" s="53" t="str">
        <x:v>大圣分身作业</x:v>
      </x:c>
      <x:c r="P112" s="73"/>
    </x:row>
    <x:row r="113" ht="45" customHeight="1">
      <x:c r="A113" s="60" t="n">
        <x:v>107</x:v>
      </x:c>
      <x:c r="B113" s="58" t="str">
        <x:v>西游行李箱</x:v>
      </x:c>
      <x:c r="C113" s="54" t="str">
        <x:v>合并</x:v>
      </x:c>
      <x:c r="D113" s="54" t="str">
        <x:v>合并</x:v>
      </x:c>
      <x:c r="E113" s="64" t="n">
        <x:v>97</x:v>
      </x:c>
      <x:c r="F113" s="52" t="str">
        <x:v>97 寄居蟹潮汐搬家（主候选）</x:v>
      </x:c>
      <x:c r="G113" s="52" t="str">
        <x:v>行李占位与展开牺牲携带空间可用，但每件法宝变成独特道路会落回钥匙配锁和专用关卡。</x:v>
      </x:c>
      <x:c r="H113" s="52" t="str">
        <x:v>只把货物卸下当锚、挡块或垫脚物并入97的运输规则；删任意法宝转形和额外西游队员。</x:v>
      </x:c>
      <x:c r="I113" s="52" t="str">
        <x:v>暂时卸下一件有价值的货物，换取通路或稳定性。</x:v>
      </x:c>
      <x:c r="J113" s="52" t="str">
        <x:v>沿用97潮汐运输循环，卸下后必须花行动回收，未送达的货物不能提前获得收益。</x:v>
      </x:c>
      <x:c r="K113" s="52" t="str">
        <x:v>两类通用货物用途，不新增法宝图鉴和队员。</x:v>
      </x:c>
      <x:c r="L113" s="52" t="str">
        <x:v>同一货物是否能在多个局面作工具或作为交付品；若只开启指定障碍则不保留。</x:v>
      </x:c>
      <x:c r="M113" s="52" t="str">
        <x:v>备选</x:v>
      </x:c>
      <x:c r="N113" s="52" t="str">
        <x:v>行李会在途中变成道路、营地或队员，使用后减少携带能力</x:v>
      </x:c>
      <x:c r="O113" s="52" t="str">
        <x:v>西游行李箱</x:v>
      </x:c>
      <x:c r="P113" s="72" t="n">
        <x:v>97</x:v>
      </x:c>
    </x:row>
    <x:row r="114" ht="57.75" customHeight="1">
      <x:c r="A114" s="61" t="n">
        <x:v>108</x:v>
      </x:c>
      <x:c r="B114" s="59" t="str">
        <x:v>春联改命</x:v>
      </x:c>
      <x:c r="C114" s="55" t="str">
        <x:v>合并</x:v>
      </x:c>
      <x:c r="D114" s="55" t="str">
        <x:v>合并</x:v>
      </x:c>
      <x:c r="E114" s="65" t="n">
        <x:v>101</x:v>
      </x:c>
      <x:c r="F114" s="53" t="str">
        <x:v>101 年兽这一夜（主候选）</x:v>
      </x:c>
      <x:c r="G114" s="53" t="str">
        <x:v>认识上联下联不等于熟悉条件—结果编辑；普通春联也不是该语法。原案把文化外形当作程序教学优势，存在过度拟合。</x:v>
      </x:c>
      <x:c r="H114" s="53" t="str">
        <x:v>取消自由拆词造规则。只保留少量完整春联作为101的持久祝福，每副一个效果并配动态示意；不叠加客流经营。</x:v>
      </x:c>
      <x:c r="I114" s="53" t="str">
        <x:v>在门位选择贴一副完整春联，替换会失去旧效果。</x:v>
      </x:c>
      <x:c r="J114" s="53" t="str">
        <x:v>并入101的年货选择：花资金买耗材即时过关，或贴春联改善后续某类装置。</x:v>
      </x:c>
      <x:c r="K114" s="53" t="str">
        <x:v>三副完整春联、每副一句话；无条件词库、横批编辑与造句评分。</x:v>
      </x:c>
      <x:c r="L114" s="53" t="str">
        <x:v>看过一次触发后能否预判第二次，并清楚放弃了哪种祝福；若只能对照规则树理解，就继续简化。</x:v>
      </x:c>
      <x:c r="M114" s="53" t="str">
        <x:v>首轮候选</x:v>
      </x:c>
      <x:c r="N114" s="53" t="str">
        <x:v>上联是条件，下联是效果，横批改变范围，用有限词条组合规则</x:v>
      </x:c>
      <x:c r="O114" s="53" t="str">
        <x:v>春联改命</x:v>
      </x:c>
      <x:c r="P114" s="73" t="n">
        <x:v>101</x:v>
      </x:c>
    </x:row>
    <x:row r="115" ht="57.75" customHeight="1">
      <x:c r="A115" s="60" t="n">
        <x:v>109</x:v>
      </x:c>
      <x:c r="B115" s="58" t="str">
        <x:v>皮影戏布阵</x:v>
      </x:c>
      <x:c r="C115" s="54" t="str">
        <x:v>重构</x:v>
      </x:c>
      <x:c r="D115" s="54" t="str">
        <x:v>主候选池</x:v>
      </x:c>
      <x:c r="E115" s="64"/>
      <x:c r="F115" s="52" t="str"/>
      <x:c r="G115" s="52" t="str">
        <x:v>投影放大很有演示力，但放大攻击范围本身不是系统深度；任意轮廓、关节和光影变形会增加大量例外。</x:v>
      </x:c>
      <x:c r="H115" s="52" t="str">
        <x:v>只做桥、挡板、推杆三种固定皮影片。调灯后纸人和箱子的位置保留；影桥、挡板和推杆按当前灯位重算，旧投影消失。改灯前预览失去支撑或被阻挡的对象。</x:v>
      </x:c>
      <x:c r="I115" s="52" t="str">
        <x:v>摆一张皮影片或调一盏灯，然后推进舞台一拍。</x:v>
      </x:c>
      <x:c r="J115" s="52" t="str">
        <x:v>预告纸人行动，有限灯油布置影桥和推板完成运送；获得新皮影片，利用上一拍保留的位置继续规划。</x:v>
      </x:c>
      <x:c r="K115" s="52" t="str">
        <x:v>单屏舞台、两盏灯、三级灯距、三类皮影片、一个纸人；离散投影，无任意形状识别和完整战斗。</x:v>
      </x:c>
      <x:c r="L115" s="52" t="str">
        <x:v>调灯必须改变下一拍路径、占位或货物位置；若只放大视觉和数值，或每关需独有机关，则不进入下一阶段。</x:v>
      </x:c>
      <x:c r="M115" s="52" t="str">
        <x:v>备选</x:v>
      </x:c>
      <x:c r="N115" s="52" t="str">
        <x:v>影子才是战斗实体，灯距、重叠和关节改变影子的能力</x:v>
      </x:c>
      <x:c r="O115" s="52" t="str">
        <x:v>皮影搬运台</x:v>
      </x:c>
      <x:c r="P115" s="72"/>
    </x:row>
    <x:row r="116" ht="45" customHeight="1">
      <x:c r="A116" s="61" t="n">
        <x:v>110</x:v>
      </x:c>
      <x:c r="B116" s="59" t="str">
        <x:v>三国借箭局</x:v>
      </x:c>
      <x:c r="C116" s="55" t="str">
        <x:v>保留深化</x:v>
      </x:c>
      <x:c r="D116" s="55" t="str">
        <x:v>主候选池</x:v>
      </x:c>
      <x:c r="E116" s="65"/>
      <x:c r="F116" s="53" t="str"/>
      <x:c r="G116" s="53" t="str">
        <x:v>收敌方攻击再反击能把防守、资源获取和输出连起来；原案必须避免始终蓄到满再一次发射。</x:v>
      </x:c>
      <x:c r="H116" s="53" t="str">
        <x:v>箭载重降低换道速度，草垫会磨损；可提前放箭减重，也可冒险保留。风向预告，捕获角度与反击线路共用船位。</x:v>
      </x:c>
      <x:c r="I116" s="53" t="str">
        <x:v>转船接箭、换道避险，或释放部分库存反击。</x:v>
      </x:c>
      <x:c r="J116" s="53" t="str">
        <x:v>读一波敌方射线，在保船与收箭之间取舍；过波后修船或买船件，余箭可携带但继续占载重。</x:v>
      </x:c>
      <x:c r="K116" s="53" t="str">
        <x:v>三条水道、一艘船、三种船件、两类射线、五波；不做三国大地图、海战AI和真实水流。</x:v>
      </x:c>
      <x:c r="L116" s="53" t="str">
        <x:v>提前发箭是否在部分局面优于蓄满，换一件船件是否改变接箭角度或路线；若只让弹幕更多则先修核心。</x:v>
      </x:c>
      <x:c r="M116" s="53" t="str">
        <x:v>备选</x:v>
      </x:c>
      <x:c r="N116" s="53" t="str">
        <x:v>敌方攻击可转成自己的箭材，船的朝向与承载决定收集和反击</x:v>
      </x:c>
      <x:c r="O116" s="53" t="str">
        <x:v>三国借箭局</x:v>
      </x:c>
      <x:c r="P116" s="73"/>
    </x:row>
    <x:row r="117" ht="45" customHeight="1">
      <x:c r="A117" s="60" t="n">
        <x:v>111</x:v>
      </x:c>
      <x:c r="B117" s="58" t="str">
        <x:v>手电筒造影兵</x:v>
      </x:c>
      <x:c r="C117" s="54" t="str">
        <x:v>合并</x:v>
      </x:c>
      <x:c r="D117" s="54" t="str">
        <x:v>合并</x:v>
      </x:c>
      <x:c r="E117" s="64" t="n">
        <x:v>109</x:v>
      </x:c>
      <x:c r="F117" s="52" t="str">
        <x:v>109 皮影搬运台（主候选）</x:v>
      </x:c>
      <x:c r="G117" s="52" t="str">
        <x:v>照物成影与皮影共用核心；把梳子解释成士兵等物体语义需要逐件编内容。</x:v>
      </x:c>
      <x:c r="H117" s="52" t="str">
        <x:v>只保留手电交互与可辨识剪影作为109的呈现备选；不生成任意物体对应的兵种。</x:v>
      </x:c>
      <x:c r="I117" s="52" t="str">
        <x:v>移动光源，改变一种预定义投影的占位。</x:v>
      </x:c>
      <x:c r="J117" s="52" t="str">
        <x:v>沿用109的投影状态循环，电池与灯油为同一资源的不同包装。</x:v>
      </x:c>
      <x:c r="K117" s="52" t="str">
        <x:v>三种可枚举轮廓，不叠加士兵养成和召唤AI。</x:v>
      </x:c>
      <x:c r="L117" s="52" t="str">
        <x:v>换日常物体是否提高预测性；若每件都需重新解释功能，就仍使用明确皮影片。</x:v>
      </x:c>
      <x:c r="M117" s="52" t="str">
        <x:v>备选</x:v>
      </x:c>
      <x:c r="N117" s="52" t="str">
        <x:v>照出的影子可以短暂独立行动，光源选择决定影子的技能</x:v>
      </x:c>
      <x:c r="O117" s="52" t="str">
        <x:v>手电筒造影兵</x:v>
      </x:c>
      <x:c r="P117" s="72" t="n">
        <x:v>109</x:v>
      </x:c>
    </x:row>
    <x:row r="118" ht="45" customHeight="1">
      <x:c r="A118" s="61" t="n">
        <x:v>112</x:v>
      </x:c>
      <x:c r="B118" s="59" t="str">
        <x:v>倒影交换师</x:v>
      </x:c>
      <x:c r="C118" s="55" t="str">
        <x:v>合并</x:v>
      </x:c>
      <x:c r="D118" s="55" t="str">
        <x:v>合并</x:v>
      </x:c>
      <x:c r="E118" s="65" t="n">
        <x:v>58</x:v>
      </x:c>
      <x:c r="F118" s="53" t="str">
        <x:v>58 搬门搬家（暂缓）</x:v>
      </x:c>
      <x:c r="G118" s="53" t="str">
        <x:v>交换位置可读，交换重量等属性则需另一套难懂语法；反射链和搬门连接空间有重叠。</x:v>
      </x:c>
      <x:c r="H118" s="53" t="str">
        <x:v>只把一对镜面的离散位置交换作为58的可选门型，删反射角递归与任意属性交换。</x:v>
      </x:c>
      <x:c r="I118" s="53" t="str">
        <x:v>消耗一次机会，交换两个标记格上的实体。</x:v>
      </x:c>
      <x:c r="J118" s="53" t="str">
        <x:v>沿用58的通路重组循环，交换门数量有限且占正常通道位。</x:v>
      </x:c>
      <x:c r="K118" s="53" t="str">
        <x:v>一对镜门、只交换位置，不引入光学模拟。</x:v>
      </x:c>
      <x:c r="L118" s="53" t="str">
        <x:v>交换能否提供与普通门不同的资源或通路代价；若只是更强传送门则不保留。</x:v>
      </x:c>
      <x:c r="M118" s="53" t="str">
        <x:v>备选</x:v>
      </x:c>
      <x:c r="N118" s="53" t="str">
        <x:v>与倒影交换位置或属性，镜面相对位置构成移动与攻击网络</x:v>
      </x:c>
      <x:c r="O118" s="53" t="str">
        <x:v>倒影交换师</x:v>
      </x:c>
      <x:c r="P118" s="73" t="n">
        <x:v>58</x:v>
      </x:c>
    </x:row>
    <x:row r="119" ht="57.75" customHeight="1">
      <x:c r="A119" s="60" t="n">
        <x:v>113</x:v>
      </x:c>
      <x:c r="B119" s="58" t="str">
        <x:v>拍照复制城</x:v>
      </x:c>
      <x:c r="C119" s="54" t="str">
        <x:v>暂缓</x:v>
      </x:c>
      <x:c r="D119" s="54" t="str">
        <x:v>暂缓</x:v>
      </x:c>
      <x:c r="E119" s="64"/>
      <x:c r="F119" s="52" t="str"/>
      <x:c r="G119" s="52" t="str">
        <x:v>拍桥变桥完成了能力演示，没有证明每轮为何取这幅景、舍弃什么和何时展开；缩减重建技术也不会自动补上玩法。</x:v>
      </x:c>
      <x:c r="H119" s="52" t="str">
        <x:v>暂缓完整三维方案。若验证，只拍可枚举格块，复制保留原布局并消耗相纸与落地面积，先定义一类持续变化的交付目标。</x:v>
      </x:c>
      <x:c r="I119" s="52" t="str">
        <x:v>选择取景范围，保留有限照片，再选择展开位置。</x:v>
      </x:c>
      <x:c r="J119" s="52" t="str">
        <x:v>候选循环为取景、带回、部署、达成交付换相纸；复制后是否产生新的决策仍待实测，不先做城市内容。</x:v>
      </x:c>
      <x:c r="K119" s="52" t="str">
        <x:v>单屏九格取景、三种对象、两张相纸、三轮目标；无透视重建、任意网格和开放世界。</x:v>
      </x:c>
      <x:c r="L119" s="52" t="str">
        <x:v>不同普通素材能否形成不同有效部署；若每轮都拍同一座最强桥，或靠作者摆好拍点，则核心尚未成立。</x:v>
      </x:c>
      <x:c r="M119" s="52" t="str">
        <x:v>高投入探索</x:v>
      </x:c>
      <x:c r="N119" s="52" t="str">
        <x:v>照片可展开成截取场景的简化副本，拍入多少内容影响代价</x:v>
      </x:c>
      <x:c r="O119" s="52" t="str">
        <x:v>拍照复制城</x:v>
      </x:c>
      <x:c r="P119" s="72"/>
    </x:row>
    <x:row r="120" ht="45" customHeight="1">
      <x:c r="A120" s="61" t="n">
        <x:v>114</x:v>
      </x:c>
      <x:c r="B120" s="59" t="str">
        <x:v>时停搬运工</x:v>
      </x:c>
      <x:c r="C120" s="55" t="str">
        <x:v>暂缓</x:v>
      </x:c>
      <x:c r="D120" s="55" t="str">
        <x:v>暂缓</x:v>
      </x:c>
      <x:c r="E120" s="65"/>
      <x:c r="F120" s="53" t="str"/>
      <x:c r="G120" s="53" t="str">
        <x:v>统一释放动量很适合演示，但物体自由堆放与连锁对精度敏感，现案也未证明每关除了试摆还有经济取舍。</x:v>
      </x:c>
      <x:c r="H120" s="53" t="str">
        <x:v>先使用离散发射方向和固定连接件，暂停内操作次数有限；收益来自少用工具完成运输，而非随机物理成功。</x:v>
      </x:c>
      <x:c r="I120" s="53" t="str">
        <x:v>暂停、重排一个物体或连接件，再恢复一次。</x:v>
      </x:c>
      <x:c r="J120" s="53" t="str">
        <x:v>从有限工具中选取组合完成两批运输，剩余工具可转入下一批；先验证重复选择再做成长。</x:v>
      </x:c>
      <x:c r="K120" s="53" t="str">
        <x:v>一个房间、四个物体、两种连接件、两批货；一键复位，无自由软体家具。</x:v>
      </x:c>
      <x:c r="L120" s="53" t="str">
        <x:v>玩家能否在两次尝试内解释误差并有目的地调整；若主要微调碰撞位置或背作者解法，继续暂缓。</x:v>
      </x:c>
      <x:c r="M120" s="53" t="str">
        <x:v>备选</x:v>
      </x:c>
      <x:c r="N120" s="53" t="str">
        <x:v>暂停时重排物体，恢复后统一释放动量与连接效果</x:v>
      </x:c>
      <x:c r="O120" s="53" t="str">
        <x:v>时停搬运工</x:v>
      </x:c>
      <x:c r="P120" s="73"/>
    </x:row>
    <x:row r="121" ht="45" customHeight="1">
      <x:c r="A121" s="60" t="n">
        <x:v>115</x:v>
      </x:c>
      <x:c r="B121" s="58" t="str">
        <x:v>时间欠条</x:v>
      </x:c>
      <x:c r="C121" s="54" t="str">
        <x:v>合并</x:v>
      </x:c>
      <x:c r="D121" s="54" t="str">
        <x:v>合并</x:v>
      </x:c>
      <x:c r="E121" s="64" t="n">
        <x:v>66</x:v>
      </x:c>
      <x:c r="F121" s="52" t="str">
        <x:v>66 一天跑腿局（主候选）</x:v>
      </x:c>
      <x:c r="G121" s="52" t="str">
        <x:v>提前行动并偿还未来回合是经济机制，单独不能提供世界、核心动作和验证目标。</x:v>
      </x:c>
      <x:c r="H121" s="52" t="str">
        <x:v>并入66，作为一种升级：借下一轮一个明确动作格，本轮使用后该格立即显示已抵押；不加复利账本。</x:v>
      </x:c>
      <x:c r="I121" s="52" t="str">
        <x:v>透支一次未来动作，解决眼前截止需求。</x:v>
      </x:c>
      <x:c r="J121" s="52" t="str">
        <x:v>沿用66的任务排程循环，透支改善当前收入但压缩下轮可接任务。</x:v>
      </x:c>
      <x:c r="K121" s="52" t="str">
        <x:v>一个透支按钮、一个可视化抵押格、不得连续借新还旧。</x:v>
      </x:c>
      <x:c r="L121" s="52" t="str">
        <x:v>是否有值得借与不值得借的局面，玩家是否无需算账就理解下轮损失。</x:v>
      </x:c>
      <x:c r="M121" s="52" t="str">
        <x:v>备选</x:v>
      </x:c>
      <x:c r="N121" s="52" t="str">
        <x:v>可提前执行未来行动，之后必须偿还回合或资源，组合决定还债方式</x:v>
      </x:c>
      <x:c r="O121" s="52" t="str">
        <x:v>时间欠条</x:v>
      </x:c>
      <x:c r="P121" s="72" t="n">
        <x:v>66</x:v>
      </x:c>
    </x:row>
    <x:row r="122" ht="45" customHeight="1">
      <x:c r="A122" s="61" t="n">
        <x:v>116</x:v>
      </x:c>
      <x:c r="B122" s="59" t="str">
        <x:v>反派片场</x:v>
      </x:c>
      <x:c r="C122" s="55" t="str">
        <x:v>合并</x:v>
      </x:c>
      <x:c r="D122" s="55" t="str">
        <x:v>合并</x:v>
      </x:c>
      <x:c r="E122" s="65" t="n">
        <x:v>120</x:v>
      </x:c>
      <x:c r="F122" s="53" t="str">
        <x:v>120 动作剪辑台（暂缓）</x:v>
      </x:c>
      <x:c r="G122" s="53" t="str">
        <x:v>英雄连续逃生与精彩评分容易依赖专门关卡和动画；把机关、镜头、替身同时做范围过大。</x:v>
      </x:c>
      <x:c r="H122" s="53" t="str">
        <x:v>只给120保留‘动作不中断且角色存活’这类拍摄订单作为候选目标，不建设另一套物理片场。</x:v>
      </x:c>
      <x:c r="I122" s="53" t="str">
        <x:v>选一段动作衔接，满足可见的连续性与生存要求。</x:v>
      </x:c>
      <x:c r="J122" s="53" t="str">
        <x:v>沿用120待验证的动作编排循环，导演目标提供取舍，暂不进主动池。</x:v>
      </x:c>
      <x:c r="K122" s="53" t="str">
        <x:v>两类拍摄目标，不加自由摄影、陷阱编辑和电影叙事。</x:v>
      </x:c>
      <x:c r="L122" s="53" t="str">
        <x:v>新目标是否改变招式选择，而非让同一连招多加分；没有差异则只作为演出主题。</x:v>
      </x:c>
      <x:c r="M122" s="53" t="str">
        <x:v>备选</x:v>
      </x:c>
      <x:c r="N122" s="53" t="str">
        <x:v>目标是拍出精彩连续动作，英雄必须活着抵达高潮</x:v>
      </x:c>
      <x:c r="O122" s="53" t="str">
        <x:v>反派片场</x:v>
      </x:c>
      <x:c r="P122" s="73" t="n">
        <x:v>120</x:v>
      </x:c>
    </x:row>
    <x:row r="123" ht="45" customHeight="1">
      <x:c r="A123" s="60" t="n">
        <x:v>117</x:v>
      </x:c>
      <x:c r="B123" s="58" t="str">
        <x:v>怪兽拆楼供能</x:v>
      </x:c>
      <x:c r="C123" s="54" t="str">
        <x:v>暂缓</x:v>
      </x:c>
      <x:c r="D123" s="54" t="str">
        <x:v>暂缓</x:v>
      </x:c>
      <x:c r="E123" s="64"/>
      <x:c r="F123" s="52" t="str"/>
      <x:c r="G123" s="52" t="str">
        <x:v>拆楼变强再拆更大楼可能只是单调滚雪球；即使破坏和变形技术做出来，也尚未证明吞哪部分的持续取舍。</x:v>
      </x:c>
      <x:c r="H123" s="52" t="str">
        <x:v>先以固定方块部件替代破坏网格，限制身体承重与接口；在一栋楼里证明先拆哪一块会影响后续可取得部件。</x:v>
      </x:c>
      <x:c r="I123" s="52" t="str">
        <x:v>拆一个结构块，选择装到身上或消化成资源。</x:v>
      </x:c>
      <x:c r="J123" s="52" t="str">
        <x:v>用当前体型接近目标，拆块获取模块；装配占接口并改变通行，消化供修复，目标完成后再决定扩场景。</x:v>
      </x:c>
      <x:c r="K123" s="52" t="str">
        <x:v>一栋灰盒楼、三种部件、两个接口、一个目标；无自由骨骼变形和大规模坍塌。</x:v>
      </x:c>
      <x:c r="L123" s="52" t="str">
        <x:v>同一部件是否有装、吃、暂留三种价值；若最近或最大的部件始终最优，则不继续投破坏表现。</x:v>
      </x:c>
      <x:c r="M123" s="52" t="str">
        <x:v>高投入探索</x:v>
      </x:c>
      <x:c r="N123" s="52" t="str">
        <x:v>被拆掉的结构成为身体模块，吞哪部分决定体型与动作</x:v>
      </x:c>
      <x:c r="O123" s="52" t="str">
        <x:v>怪兽拆楼供能</x:v>
      </x:c>
      <x:c r="P123" s="72"/>
    </x:row>
    <x:row r="124" ht="45" customHeight="1">
      <x:c r="A124" s="61" t="n">
        <x:v>118</x:v>
      </x:c>
      <x:c r="B124" s="59" t="str">
        <x:v>缩小探险家</x:v>
      </x:c>
      <x:c r="C124" s="55" t="str">
        <x:v>暂缓</x:v>
      </x:c>
      <x:c r="D124" s="55" t="str">
        <x:v>暂缓</x:v>
      </x:c>
      <x:c r="E124" s="65"/>
      <x:c r="F124" s="53" t="str"/>
      <x:c r="G124" s="53" t="str">
        <x:v>微缩家庭具有观看吸引力，但当前只有题材和工具清单，针当桅杆等例子仍是预写解法，缺少统一核心动作。</x:v>
      </x:c>
      <x:c r="H124" s="53" t="str">
        <x:v>先在运输或生存中选一个目标，所有日用品必须服务同一组规则；未确定前不铺场景和物品图鉴。</x:v>
      </x:c>
      <x:c r="I124" s="53" t="str">
        <x:v>尚需确定主动作；当前只能描述拾取、组合和穿越。</x:v>
      </x:c>
      <x:c r="J124" s="53" t="str">
        <x:v>原案没有足够明确的重复循环，先用一个小障碍验证两种通用物品组合，不启动完整冒险。</x:v>
      </x:c>
      <x:c r="K124" s="53" t="str">
        <x:v>一个水槽、三件工具、一个交付目标；无整屋微缩、角色剧情和任意制作。</x:v>
      </x:c>
      <x:c r="L124" s="53" t="str">
        <x:v>同一工具能否迁移解决第二个非预写障碍；若必须每处提供专用道具，则应按内容型解谜另估。</x:v>
      </x:c>
      <x:c r="M124" s="53" t="str">
        <x:v>高投入探索</x:v>
      </x:c>
      <x:c r="N124" s="53" t="str">
        <x:v>针线、纸杯、订书钉都可成为装备，微小场景里的连接决定通路</x:v>
      </x:c>
      <x:c r="O124" s="53" t="str">
        <x:v>缩小探险家</x:v>
      </x:c>
      <x:c r="P124" s="73"/>
    </x:row>
    <x:row r="125" ht="45" customHeight="1">
      <x:c r="A125" s="60" t="n">
        <x:v>119</x:v>
      </x:c>
      <x:c r="B125" s="58" t="str">
        <x:v>天气瓶工厂</x:v>
      </x:c>
      <x:c r="C125" s="54" t="str">
        <x:v>合并</x:v>
      </x:c>
      <x:c r="D125" s="54" t="str">
        <x:v>合并</x:v>
      </x:c>
      <x:c r="E125" s="64" t="n">
        <x:v>51</x:v>
      </x:c>
      <x:c r="F125" s="52" t="str">
        <x:v>51 回收保洁队（主候选）</x:v>
      </x:c>
      <x:c r="G125" s="52" t="str">
        <x:v>收集元素、存容器、按顺序释放与怪物保洁同族；天气混合再加一套规则会稀释已足够复杂的材料关系。</x:v>
      </x:c>
      <x:c r="H125" s="52" t="str">
        <x:v>仅保留瓶型影响喷口方向或容量，作为51的工具候选；天气外观可以替代材料包装，首轮不扩反应表。</x:v>
      </x:c>
      <x:c r="I125" s="52" t="str">
        <x:v>选择携带容器，决定同一材料的释放方式。</x:v>
      </x:c>
      <x:c r="J125" s="52" t="str">
        <x:v>沿用51的收集、储存、使用循环，瓶型占装备位并改变使用距离或面积。</x:v>
      </x:c>
      <x:c r="K125" s="52" t="str">
        <x:v>一个新瓶型，不新增风暴、真实云层和全局气候。</x:v>
      </x:c>
      <x:c r="L125" s="52" t="str">
        <x:v>容器是否让同种材料有不同用途，而不只是更大范围更强；若只有数值提升则不保留。</x:v>
      </x:c>
      <x:c r="M125" s="52" t="str">
        <x:v>备选</x:v>
      </x:c>
      <x:c r="N125" s="52" t="str">
        <x:v>瓶里装的是局部天气，混合顺序改变释放后的区域效果</x:v>
      </x:c>
      <x:c r="O125" s="52" t="str">
        <x:v>天气瓶工厂</x:v>
      </x:c>
      <x:c r="P125" s="72" t="n">
        <x:v>51</x:v>
      </x:c>
    </x:row>
    <x:row r="126" ht="45" customHeight="1">
      <x:c r="A126" s="61" t="n">
        <x:v>120</x:v>
      </x:c>
      <x:c r="B126" s="59" t="str">
        <x:v>动作剪辑台</x:v>
      </x:c>
      <x:c r="C126" s="55" t="str">
        <x:v>暂缓</x:v>
      </x:c>
      <x:c r="D126" s="55" t="str">
        <x:v>暂缓</x:v>
      </x:c>
      <x:c r="E126" s="65"/>
      <x:c r="F126" s="53" t="str"/>
      <x:c r="G126" s="53" t="str">
        <x:v>视频剪辑的熟悉感不等于愿意编写动作程序；看角色自动打完也不能替代每回合做选择，动作与转场量容易膨胀。</x:v>
      </x:c>
      <x:c r="H126" s="53" t="str">
        <x:v>先做五个完整招式和三个槽，拖放即显示路线、耗能与冲突；不允许逐帧编辑，战斗只验证一个明确目标。</x:v>
      </x:c>
      <x:c r="I126" s="53" t="str">
        <x:v>选三个招式排顺序，决定保留能量或播放整段。</x:v>
      </x:c>
      <x:c r="J126" s="53" t="str">
        <x:v>预告敌人下一行动，编排后统一执行，按剩余资源选择新招式；下一轮目标改变，检验是否值得改序。</x:v>
      </x:c>
      <x:c r="K126" s="53" t="str">
        <x:v>二维固定场景、五招、三槽、两敌、三轮；无剪辑软件功能、自由摄影与长连招库。</x:v>
      </x:c>
      <x:c r="L126" s="53" t="str">
        <x:v>同一组招式能否因敌人意图改变顺序，玩家能否直接预判成功原因；若主要测试语法或永远用一套连招则暂缓。</x:v>
      </x:c>
      <x:c r="M126" s="53" t="str">
        <x:v>备选</x:v>
      </x:c>
      <x:c r="N126" s="53" t="str">
        <x:v>把动作片段排成战斗流程，转场条件决定是否连招</x:v>
      </x:c>
      <x:c r="O126" s="53" t="str">
        <x:v>动作剪辑台</x:v>
      </x:c>
      <x:c r="P126" s="73"/>
    </x:row>
    <x:row r="127" ht="18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</x:row>
    <x:row r="128" ht="18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</x:row>
    <x:row r="129" ht="24.75" customHeight="1">
      <x:c r="A129" s="74" t="str">
        <x:v>原始120案快照</x:v>
      </x:c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  <x:c r="N129" s="74"/>
      <x:c r="O129" s="74"/>
      <x:c r="P129" s="74"/>
    </x:row>
    <x:row r="130" ht="28.5" customHeight="1">
      <x:c r="A130" s="46" t="str">
        <x:v>原 ID</x:v>
      </x:c>
      <x:c r="B130" s="47" t="str">
        <x:v>原方案</x:v>
      </x:c>
      <x:c r="C130" s="47" t="str">
        <x:v>原类别</x:v>
      </x:c>
      <x:c r="D130" s="47" t="str">
        <x:v>原成本估计</x:v>
      </x:c>
      <x:c r="E130" s="47" t="str">
        <x:v>原优先级</x:v>
      </x:c>
      <x:c r="F130" s="47" t="str">
        <x:v>原熟悉动作或规则</x:v>
      </x:c>
      <x:c r="G130" s="47" t="str">
        <x:v>原机制反转</x:v>
      </x:c>
      <x:c r="H130" s="47" t="str">
        <x:v>原构筑对象</x:v>
      </x:c>
      <x:c r="I130" s="47" t="str">
        <x:v>原演示爽点</x:v>
      </x:c>
      <x:c r="J130" s="47" t="str">
        <x:v>原主要受众</x:v>
      </x:c>
      <x:c r="K130" s="48" t="str">
        <x:v>原关键风险</x:v>
      </x:c>
      <x:c r="L130" s="38"/>
      <x:c r="M130" s="38"/>
      <x:c r="N130" s="38"/>
      <x:c r="O130" s="38"/>
      <x:c r="P130" s="38"/>
    </x:row>
    <x:row r="131" ht="45" customHeight="1">
      <x:c r="A131" s="60" t="n">
        <x:v>1</x:v>
      </x:c>
      <x:c r="B131" s="58" t="str">
        <x:v>吃子进化棋</x:v>
      </x:c>
      <x:c r="C131" s="52" t="str">
        <x:v>棋牌与桌面</x:v>
      </x:c>
      <x:c r="D131" s="52" t="str">
        <x:v>小</x:v>
      </x:c>
      <x:c r="E131" s="52" t="str">
        <x:v>备选</x:v>
      </x:c>
      <x:c r="F131" s="52" t="str">
        <x:v>按走法移动、吃掉对方棋子</x:v>
      </x:c>
      <x:c r="G131" s="52" t="str">
        <x:v>每次吃子可继承一种走法，但新旧能力争用有限槽位</x:v>
      </x:c>
      <x:c r="H131" s="52" t="str">
        <x:v>走法、棋盘地形、捕获顺序</x:v>
      </x:c>
      <x:c r="I131" s="52" t="str">
        <x:v>一枚小兵连续借用马步和直线突进绕到后排</x:v>
      </x:c>
      <x:c r="J131" s="52" t="str">
        <x:v>熟悉棋牌或桌游的玩家</x:v>
      </x:c>
      <x:c r="K131" s="52" t="str">
        <x:v>复合走法需要清楚预览，避免记忆负担</x:v>
      </x:c>
      <x:c r="L131" s="38"/>
      <x:c r="M131" s="38"/>
      <x:c r="N131" s="38"/>
      <x:c r="O131" s="38"/>
      <x:c r="P131" s="38"/>
    </x:row>
    <x:row r="132" ht="45" customHeight="1">
      <x:c r="A132" s="61" t="n">
        <x:v>2</x:v>
      </x:c>
      <x:c r="B132" s="59" t="str">
        <x:v>会造兵的五子棋</x:v>
      </x:c>
      <x:c r="C132" s="53" t="str">
        <x:v>棋牌与桌面</x:v>
      </x:c>
      <x:c r="D132" s="53" t="str">
        <x:v>中</x:v>
      </x:c>
      <x:c r="E132" s="53" t="str">
        <x:v>备选</x:v>
      </x:c>
      <x:c r="F132" s="53" t="str">
        <x:v>连成五个相同棋子</x:v>
      </x:c>
      <x:c r="G132" s="53" t="str">
        <x:v>五连会消耗棋子并生成军队，留长线或拆成短线收益不同</x:v>
      </x:c>
      <x:c r="H132" s="53" t="str">
        <x:v>阵型、兵种、连线奖励</x:v>
      </x:c>
      <x:c r="I132" s="53" t="str">
        <x:v>一次交叉落子同时结算两条线，兵从棋盘上走出来</x:v>
      </x:c>
      <x:c r="J132" s="53" t="str">
        <x:v>熟悉棋牌或桌游的玩家</x:v>
      </x:c>
      <x:c r="K132" s="53" t="str">
        <x:v>需平衡棋盘规划与战斗观看时间</x:v>
      </x:c>
      <x:c r="L132" s="38"/>
      <x:c r="M132" s="38"/>
      <x:c r="N132" s="38"/>
      <x:c r="O132" s="38"/>
      <x:c r="P132" s="38"/>
    </x:row>
    <x:row r="133" ht="45" customHeight="1">
      <x:c r="A133" s="60" t="n">
        <x:v>3</x:v>
      </x:c>
      <x:c r="B133" s="58" t="str">
        <x:v>麻将连锁工坊</x:v>
      </x:c>
      <x:c r="C133" s="52" t="str">
        <x:v>棋牌与桌面</x:v>
      </x:c>
      <x:c r="D133" s="52" t="str">
        <x:v>小</x:v>
      </x:c>
      <x:c r="E133" s="52" t="str">
        <x:v>备选</x:v>
      </x:c>
      <x:c r="F133" s="52" t="str">
        <x:v>摸牌、凑刻子顺子、开杠</x:v>
      </x:c>
      <x:c r="G133" s="52" t="str">
        <x:v>已完成的牌组成为机器，用后续摸到的牌触发产出</x:v>
      </x:c>
      <x:c r="H133" s="52" t="str">
        <x:v>副露机器、牌河回收、花色转换</x:v>
      </x:c>
      <x:c r="I133" s="52" t="str">
        <x:v>一个杠先补牌，再喂给两台刻子机器连续结算</x:v>
      </x:c>
      <x:c r="J133" s="52" t="str">
        <x:v>熟悉棋牌或桌游的玩家</x:v>
      </x:c>
      <x:c r="K133" s="52" t="str">
        <x:v>麻将入口具有地域差异，需与既有麻将肉鸽区分</x:v>
      </x:c>
      <x:c r="L133" s="38"/>
      <x:c r="M133" s="38"/>
      <x:c r="N133" s="38"/>
      <x:c r="O133" s="38"/>
      <x:c r="P133" s="38"/>
    </x:row>
    <x:row r="134" ht="45" customHeight="1">
      <x:c r="A134" s="61" t="n">
        <x:v>4</x:v>
      </x:c>
      <x:c r="B134" s="59" t="str">
        <x:v>改路大富翁</x:v>
      </x:c>
      <x:c r="C134" s="53" t="str">
        <x:v>棋牌与桌面</x:v>
      </x:c>
      <x:c r="D134" s="53" t="str">
        <x:v>小</x:v>
      </x:c>
      <x:c r="E134" s="53" t="str">
        <x:v>备选</x:v>
      </x:c>
      <x:c r="F134" s="53" t="str">
        <x:v>掷骰子、走格子、经过商店</x:v>
      </x:c>
      <x:c r="G134" s="53" t="str">
        <x:v>每轮能调整少量棋盘格，构筑自己接下来会走的路线</x:v>
      </x:c>
      <x:c r="H134" s="53" t="str">
        <x:v>地块顺序、骰面、路口、过路效果</x:v>
      </x:c>
      <x:c r="I134" s="53" t="str">
        <x:v>把回退格和奖励格接成有限次数的连吃路线</x:v>
      </x:c>
      <x:c r="J134" s="53" t="str">
        <x:v>熟悉棋牌或桌游的玩家</x:v>
      </x:c>
      <x:c r="K134" s="53" t="str">
        <x:v>循环需有次数或资源代价，避免唯一最优套路</x:v>
      </x:c>
      <x:c r="L134" s="38"/>
      <x:c r="M134" s="38"/>
      <x:c r="N134" s="38"/>
      <x:c r="O134" s="38"/>
      <x:c r="P134" s="38"/>
    </x:row>
    <x:row r="135" ht="45" customHeight="1">
      <x:c r="A135" s="60" t="n">
        <x:v>5</x:v>
      </x:c>
      <x:c r="B135" s="58" t="str">
        <x:v>围住就归我</x:v>
      </x:c>
      <x:c r="C135" s="52" t="str">
        <x:v>棋牌与桌面</x:v>
      </x:c>
      <x:c r="D135" s="52" t="str">
        <x:v>小</x:v>
      </x:c>
      <x:c r="E135" s="52" t="str">
        <x:v>备选</x:v>
      </x:c>
      <x:c r="F135" s="52" t="str">
        <x:v>用棋子包围一块地盘</x:v>
      </x:c>
      <x:c r="G135" s="52" t="str">
        <x:v>围住的区域可以整块剪下，再贴进自己的地图</x:v>
      </x:c>
      <x:c r="H135" s="52" t="str">
        <x:v>围地棋子、剪切形状、拼贴地图</x:v>
      </x:c>
      <x:c r="I135" s="52" t="str">
        <x:v>几颗棋子圈住城堡，剪下来直接变成自己的城墙</x:v>
      </x:c>
      <x:c r="J135" s="52" t="str">
        <x:v>熟悉棋牌或桌游的玩家</x:v>
      </x:c>
      <x:c r="K135" s="52" t="str">
        <x:v>应保留争夺和拼贴代价，避免只找最大包围</x:v>
      </x:c>
      <x:c r="L135" s="38"/>
      <x:c r="M135" s="38"/>
      <x:c r="N135" s="38"/>
      <x:c r="O135" s="38"/>
      <x:c r="P135" s="38"/>
    </x:row>
    <x:row r="136" ht="45" customHeight="1">
      <x:c r="A136" s="61" t="n">
        <x:v>6</x:v>
      </x:c>
      <x:c r="B136" s="59" t="str">
        <x:v>会施法的接龙</x:v>
      </x:c>
      <x:c r="C136" s="53" t="str">
        <x:v>棋牌与桌面</x:v>
      </x:c>
      <x:c r="D136" s="53" t="str">
        <x:v>小</x:v>
      </x:c>
      <x:c r="E136" s="53" t="str">
        <x:v>备选</x:v>
      </x:c>
      <x:c r="F136" s="53" t="str">
        <x:v>按颜色和点数整理牌列</x:v>
      </x:c>
      <x:c r="G136" s="53" t="str">
        <x:v>搬动整列牌时，沿途按顺序执行牌上的简单效果</x:v>
      </x:c>
      <x:c r="H136" s="53" t="str">
        <x:v>牌列次序、转接牌、空列、点数变化</x:v>
      </x:c>
      <x:c r="I136" s="53" t="str">
        <x:v>一整列搬过去，先复制、再充能、最后放大结算</x:v>
      </x:c>
      <x:c r="J136" s="53" t="str">
        <x:v>熟悉棋牌或桌游的玩家</x:v>
      </x:c>
      <x:c r="K136" s="53" t="str">
        <x:v>不能让出牌流程被过长动画拖慢</x:v>
      </x:c>
      <x:c r="L136" s="38"/>
      <x:c r="M136" s="38"/>
      <x:c r="N136" s="38"/>
      <x:c r="O136" s="38"/>
      <x:c r="P136" s="38"/>
    </x:row>
    <x:row r="137" ht="45" customHeight="1">
      <x:c r="A137" s="60" t="n">
        <x:v>7</x:v>
      </x:c>
      <x:c r="B137" s="58" t="str">
        <x:v>输一手也能赢</x:v>
      </x:c>
      <x:c r="C137" s="52" t="str">
        <x:v>棋牌与桌面</x:v>
      </x:c>
      <x:c r="D137" s="52" t="str">
        <x:v>小</x:v>
      </x:c>
      <x:c r="E137" s="52" t="str">
        <x:v>备选</x:v>
      </x:c>
      <x:c r="F137" s="52" t="str">
        <x:v>石头剪刀布的克制关系</x:v>
      </x:c>
      <x:c r="G137" s="52" t="str">
        <x:v>胜负分别触发不同资源，主动输一手可以为之后蓄力</x:v>
      </x:c>
      <x:c r="H137" s="52" t="str">
        <x:v>手势附加效果、连败补偿、预告读取</x:v>
      </x:c>
      <x:c r="I137" s="52" t="str">
        <x:v>故意连输两手，第三手把积蓄一次反打出来</x:v>
      </x:c>
      <x:c r="J137" s="52" t="str">
        <x:v>熟悉棋牌或桌游的玩家</x:v>
      </x:c>
      <x:c r="K137" s="52" t="str">
        <x:v>要给可读对手信息，避免纯猜拳</x:v>
      </x:c>
      <x:c r="L137" s="38"/>
      <x:c r="M137" s="38"/>
      <x:c r="N137" s="38"/>
      <x:c r="O137" s="38"/>
      <x:c r="P137" s="38"/>
    </x:row>
    <x:row r="138" ht="45" customHeight="1">
      <x:c r="A138" s="61" t="n">
        <x:v>8</x:v>
      </x:c>
      <x:c r="B138" s="59" t="str">
        <x:v>双头多米诺商路</x:v>
      </x:c>
      <x:c r="C138" s="53" t="str">
        <x:v>棋牌与桌面</x:v>
      </x:c>
      <x:c r="D138" s="53" t="str">
        <x:v>小</x:v>
      </x:c>
      <x:c r="E138" s="53" t="str">
        <x:v>备选</x:v>
      </x:c>
      <x:c r="F138" s="53" t="str">
        <x:v>相同点数的牌边接边</x:v>
      </x:c>
      <x:c r="G138" s="53" t="str">
        <x:v>接上的两端分别运送货物，分岔与闭环决定生产路线</x:v>
      </x:c>
      <x:c r="H138" s="53" t="str">
        <x:v>点数接口、路由、货物转换、终点</x:v>
      </x:c>
      <x:c r="I138" s="53" t="str">
        <x:v>一张双头牌把两条亏损支线接成赚钱主线</x:v>
      </x:c>
      <x:c r="J138" s="53" t="str">
        <x:v>熟悉棋牌或桌游的玩家</x:v>
      </x:c>
      <x:c r="K138" s="53" t="str">
        <x:v>与简单拼接解谜相比需增加局内方向变化</x:v>
      </x:c>
      <x:c r="L138" s="38"/>
      <x:c r="M138" s="38"/>
      <x:c r="N138" s="38"/>
      <x:c r="O138" s="38"/>
      <x:c r="P138" s="38"/>
    </x:row>
    <x:row r="139" ht="45" customHeight="1">
      <x:c r="A139" s="60" t="n">
        <x:v>9</x:v>
      </x:c>
      <x:c r="B139" s="58" t="str">
        <x:v>六面世界</x:v>
      </x:c>
      <x:c r="C139" s="52" t="str">
        <x:v>棋牌与桌面</x:v>
      </x:c>
      <x:c r="D139" s="52" t="str">
        <x:v>中</x:v>
      </x:c>
      <x:c r="E139" s="52" t="str">
        <x:v>备选</x:v>
      </x:c>
      <x:c r="F139" s="52" t="str">
        <x:v>掷骰子、看朝上的一面</x:v>
      </x:c>
      <x:c r="G139" s="52" t="str">
        <x:v>骰子六面都是可建造地形，翻面改变水流和重力方向</x:v>
      </x:c>
      <x:c r="H139" s="52" t="str">
        <x:v>六面地块、水路、机关、配重</x:v>
      </x:c>
      <x:c r="I139" s="52" t="str">
        <x:v>一掷把湖翻到工厂上方，瀑布沿三面启动机器</x:v>
      </x:c>
      <x:c r="J139" s="52" t="str">
        <x:v>熟悉棋牌或桌游的玩家</x:v>
      </x:c>
      <x:c r="K139" s="52" t="str">
        <x:v>空间关系要易读，可先限制成固定视角</x:v>
      </x:c>
      <x:c r="L139" s="38"/>
      <x:c r="M139" s="38"/>
      <x:c r="N139" s="38"/>
      <x:c r="O139" s="38"/>
      <x:c r="P139" s="38"/>
    </x:row>
    <x:row r="140" ht="45" customHeight="1">
      <x:c r="A140" s="61" t="n">
        <x:v>10</x:v>
      </x:c>
      <x:c r="B140" s="59" t="str">
        <x:v>象棋消防队</x:v>
      </x:c>
      <x:c r="C140" s="53" t="str">
        <x:v>棋牌与桌面</x:v>
      </x:c>
      <x:c r="D140" s="53" t="str">
        <x:v>小</x:v>
      </x:c>
      <x:c r="E140" s="53" t="str">
        <x:v>备选</x:v>
      </x:c>
      <x:c r="F140" s="53" t="str">
        <x:v>车走直线、马走日、炮隔子</x:v>
      </x:c>
      <x:c r="G140" s="53" t="str">
        <x:v>棋子走法成为救援工具，建筑还可以临时充当炮架</x:v>
      </x:c>
      <x:c r="H140" s="53" t="str">
        <x:v>救援棋子、工具、移动障碍、行动顺序</x:v>
      </x:c>
      <x:c r="I140" s="53" t="str">
        <x:v>消防车先做炮架，再隔楼喷水，一步扑灭后排火点</x:v>
      </x:c>
      <x:c r="J140" s="53" t="str">
        <x:v>熟悉棋牌或桌游的玩家</x:v>
      </x:c>
      <x:c r="K140" s="53" t="str">
        <x:v>先教少量走法，避免默认所有人会象棋</x:v>
      </x:c>
      <x:c r="L140" s="38"/>
      <x:c r="M140" s="38"/>
      <x:c r="N140" s="38"/>
      <x:c r="O140" s="38"/>
      <x:c r="P140" s="38"/>
    </x:row>
    <x:row r="141" ht="45" customHeight="1">
      <x:c r="A141" s="60" t="n">
        <x:v>11</x:v>
      </x:c>
      <x:c r="B141" s="58" t="str">
        <x:v>多米诺施工队</x:v>
      </x:c>
      <x:c r="C141" s="52" t="str">
        <x:v>玩具与童年</x:v>
      </x:c>
      <x:c r="D141" s="52" t="str">
        <x:v>中</x:v>
      </x:c>
      <x:c r="E141" s="52" t="str">
        <x:v>备选</x:v>
      </x:c>
      <x:c r="F141" s="52" t="str">
        <x:v>摆骨牌、推倒第一块</x:v>
      </x:c>
      <x:c r="G141" s="52" t="str">
        <x:v>倒下的骨牌变成桥梁、坡道和弹射板，连锁同时修路</x:v>
      </x:c>
      <x:c r="H141" s="52" t="str">
        <x:v>骨牌重量、铰链、间距、地形</x:v>
      </x:c>
      <x:c r="I141" s="52" t="str">
        <x:v>一指推倒，骨牌铺成跨河桥，最后一块弹出小车</x:v>
      </x:c>
      <x:c r="J141" s="52" t="str">
        <x:v>偏直观操作与空间组合的玩家</x:v>
      </x:c>
      <x:c r="K141" s="52" t="str">
        <x:v>物理误差不能淹没布置结果</x:v>
      </x:c>
      <x:c r="L141" s="38"/>
      <x:c r="M141" s="38"/>
      <x:c r="N141" s="38"/>
      <x:c r="O141" s="38"/>
      <x:c r="P141" s="38"/>
    </x:row>
    <x:row r="142" ht="45" customHeight="1">
      <x:c r="A142" s="61" t="n">
        <x:v>12</x:v>
      </x:c>
      <x:c r="B142" s="59" t="str">
        <x:v>弹珠轨道工厂</x:v>
      </x:c>
      <x:c r="C142" s="53" t="str">
        <x:v>玩具与童年</x:v>
      </x:c>
      <x:c r="D142" s="53" t="str">
        <x:v>中</x:v>
      </x:c>
      <x:c r="E142" s="53" t="str">
        <x:v>备选</x:v>
      </x:c>
      <x:c r="F142" s="53" t="str">
        <x:v>搭轨道、放下弹珠</x:v>
      </x:c>
      <x:c r="G142" s="53" t="str">
        <x:v>每经过一个轨道件，弹珠改变属性并触发生产</x:v>
      </x:c>
      <x:c r="H142" s="53" t="str">
        <x:v>轨道、弹珠、分叉、速度门槛</x:v>
      </x:c>
      <x:c r="I142" s="53" t="str">
        <x:v>小球绕一圈长成重球，再撞开封闭支线</x:v>
      </x:c>
      <x:c r="J142" s="53" t="str">
        <x:v>偏直观操作与空间组合的玩家</x:v>
      </x:c>
      <x:c r="K142" s="53" t="str">
        <x:v>自动运行仍需留有调整与取舍</x:v>
      </x:c>
      <x:c r="L142" s="38"/>
      <x:c r="M142" s="38"/>
      <x:c r="N142" s="38"/>
      <x:c r="O142" s="38"/>
      <x:c r="P142" s="38"/>
    </x:row>
    <x:row r="143" ht="45" customHeight="1">
      <x:c r="A143" s="60" t="n">
        <x:v>13</x:v>
      </x:c>
      <x:c r="B143" s="58" t="str">
        <x:v>套圈套出世界</x:v>
      </x:c>
      <x:c r="C143" s="52" t="str">
        <x:v>玩具与童年</x:v>
      </x:c>
      <x:c r="D143" s="52" t="str">
        <x:v>中</x:v>
      </x:c>
      <x:c r="E143" s="52" t="str">
        <x:v>首轮候选</x:v>
      </x:c>
      <x:c r="F143" s="52" t="str">
        <x:v>扔圈套住奖品</x:v>
      </x:c>
      <x:c r="G143" s="52" t="str">
        <x:v>套中的奖品成为场地机关，改变下一次圈的飞行与回收</x:v>
      </x:c>
      <x:c r="H143" s="52" t="str">
        <x:v>圈材质、奖品摆位、风扇、磁铁</x:v>
      </x:c>
      <x:c r="I143" s="52" t="str">
        <x:v>套到一台风扇，下一圈拐弯套住整排目标</x:v>
      </x:c>
      <x:c r="J143" s="52" t="str">
        <x:v>偏直观操作与空间组合的玩家</x:v>
      </x:c>
      <x:c r="K143" s="52" t="str">
        <x:v>落点需要能估计，不能只靠碰运气</x:v>
      </x:c>
      <x:c r="L143" s="38"/>
      <x:c r="M143" s="38"/>
      <x:c r="N143" s="38"/>
      <x:c r="O143" s="38"/>
      <x:c r="P143" s="38"/>
    </x:row>
    <x:row r="144" ht="45" customHeight="1">
      <x:c r="A144" s="61" t="n">
        <x:v>14</x:v>
      </x:c>
      <x:c r="B144" s="59" t="str">
        <x:v>抽积木发电站</x:v>
      </x:c>
      <x:c r="C144" s="53" t="str">
        <x:v>玩具与童年</x:v>
      </x:c>
      <x:c r="D144" s="53" t="str">
        <x:v>中</x:v>
      </x:c>
      <x:c r="E144" s="53" t="str">
        <x:v>备选</x:v>
      </x:c>
      <x:c r="F144" s="53" t="str">
        <x:v>从塔中抽一块、堆到上面</x:v>
      </x:c>
      <x:c r="G144" s="53" t="str">
        <x:v>抽出的积木可给机器供能，塔越危险当轮奖励越大</x:v>
      </x:c>
      <x:c r="H144" s="53" t="str">
        <x:v>承重结构、积木能力、加固件</x:v>
      </x:c>
      <x:c r="I144" s="53" t="str">
        <x:v>只剩细柱的塔撑住，抽出的模块点亮一整台机器</x:v>
      </x:c>
      <x:c r="J144" s="53" t="str">
        <x:v>偏直观操作与空间组合的玩家</x:v>
      </x:c>
      <x:c r="K144" s="53" t="str">
        <x:v>失稳需要预警，失败恢复要快</x:v>
      </x:c>
      <x:c r="L144" s="38"/>
      <x:c r="M144" s="38"/>
      <x:c r="N144" s="38"/>
      <x:c r="O144" s="38"/>
      <x:c r="P144" s="38"/>
    </x:row>
    <x:row r="145" ht="45" customHeight="1">
      <x:c r="A145" s="60" t="n">
        <x:v>15</x:v>
      </x:c>
      <x:c r="B145" s="58" t="str">
        <x:v>纸飞机编队</x:v>
      </x:c>
      <x:c r="C145" s="52" t="str">
        <x:v>玩具与童年</x:v>
      </x:c>
      <x:c r="D145" s="52" t="str">
        <x:v>中</x:v>
      </x:c>
      <x:c r="E145" s="52" t="str">
        <x:v>备选</x:v>
      </x:c>
      <x:c r="F145" s="52" t="str">
        <x:v>折纸、投飞机、穿过目标</x:v>
      </x:c>
      <x:c r="G145" s="52" t="str">
        <x:v>折痕决定转弯、分裂与载荷，编队成员能互相借气流</x:v>
      </x:c>
      <x:c r="H145" s="52" t="str">
        <x:v>折痕、纸材、机翼、风场</x:v>
      </x:c>
      <x:c r="I145" s="52" t="str">
        <x:v>一架纸飞机分成三架，沿同一气流钻过三个圆环</x:v>
      </x:c>
      <x:c r="J145" s="52" t="str">
        <x:v>偏直观操作与空间组合的玩家</x:v>
      </x:c>
      <x:c r="K145" s="52" t="str">
        <x:v>折纸编辑要模板化，不能要求真实工程知识</x:v>
      </x:c>
      <x:c r="L145" s="38"/>
      <x:c r="M145" s="38"/>
      <x:c r="N145" s="38"/>
      <x:c r="O145" s="38"/>
      <x:c r="P145" s="38"/>
    </x:row>
    <x:row r="146" ht="45" customHeight="1">
      <x:c r="A146" s="61" t="n">
        <x:v>16</x:v>
      </x:c>
      <x:c r="B146" s="59" t="str">
        <x:v>陀螺吞装备</x:v>
      </x:c>
      <x:c r="C146" s="53" t="str">
        <x:v>玩具与童年</x:v>
      </x:c>
      <x:c r="D146" s="53" t="str">
        <x:v>中</x:v>
      </x:c>
      <x:c r="E146" s="53" t="str">
        <x:v>备选</x:v>
      </x:c>
      <x:c r="F146" s="53" t="str">
        <x:v>拉发射器、看陀螺碰撞</x:v>
      </x:c>
      <x:c r="G146" s="53" t="str">
        <x:v>击落的零件可临场吸附，强度增加也改变重心与转速</x:v>
      </x:c>
      <x:c r="H146" s="53" t="str">
        <x:v>外圈、轴心、磁性、场地</x:v>
      </x:c>
      <x:c r="I146" s="53" t="str">
        <x:v>小陀螺捡起三块配重，变成会反弹的大圆锯</x:v>
      </x:c>
      <x:c r="J146" s="53" t="str">
        <x:v>偏直观操作与空间组合的玩家</x:v>
      </x:c>
      <x:c r="K146" s="53" t="str">
        <x:v>重量和速度的代价必须可感知</x:v>
      </x:c>
      <x:c r="L146" s="38"/>
      <x:c r="M146" s="38"/>
      <x:c r="N146" s="38"/>
      <x:c r="O146" s="38"/>
      <x:c r="P146" s="38"/>
    </x:row>
    <x:row r="147" ht="45" customHeight="1">
      <x:c r="A147" s="60" t="n">
        <x:v>17</x:v>
      </x:c>
      <x:c r="B147" s="58" t="str">
        <x:v>贴纸改造书</x:v>
      </x:c>
      <x:c r="C147" s="52" t="str">
        <x:v>玩具与童年</x:v>
      </x:c>
      <x:c r="D147" s="52" t="str">
        <x:v>小</x:v>
      </x:c>
      <x:c r="E147" s="52" t="str">
        <x:v>备选</x:v>
      </x:c>
      <x:c r="F147" s="52" t="str">
        <x:v>撕贴纸、把图案贴到物体上</x:v>
      </x:c>
      <x:c r="G147" s="52" t="str">
        <x:v>贴纸会赋予物体真实功能，贴的位置决定作用范围</x:v>
      </x:c>
      <x:c r="H147" s="52" t="str">
        <x:v>属性贴纸、贴附部位、叠层、胶水次数</x:v>
      </x:c>
      <x:c r="I147" s="52" t="str">
        <x:v>把弹簧贴到石头下面，再贴翅膀让它弹上屋顶</x:v>
      </x:c>
      <x:c r="J147" s="52" t="str">
        <x:v>偏直观操作与空间组合的玩家</x:v>
      </x:c>
      <x:c r="K147" s="52" t="str">
        <x:v>需要稳定的属性语法，避免单纯搞笑图片</x:v>
      </x:c>
      <x:c r="L147" s="38"/>
      <x:c r="M147" s="38"/>
      <x:c r="N147" s="38"/>
      <x:c r="O147" s="38"/>
      <x:c r="P147" s="38"/>
    </x:row>
    <x:row r="148" ht="45" customHeight="1">
      <x:c r="A148" s="61" t="n">
        <x:v>18</x:v>
      </x:c>
      <x:c r="B148" s="59" t="str">
        <x:v>跳房子副本</x:v>
      </x:c>
      <x:c r="C148" s="53" t="str">
        <x:v>玩具与童年</x:v>
      </x:c>
      <x:c r="D148" s="53" t="str">
        <x:v>小</x:v>
      </x:c>
      <x:c r="E148" s="53" t="str">
        <x:v>备选</x:v>
      </x:c>
      <x:c r="F148" s="53" t="str">
        <x:v>单脚跳格、按顺序前进</x:v>
      </x:c>
      <x:c r="G148" s="53" t="str">
        <x:v>每个落脚格触发能力，粉笔可重画有限格子和连接</x:v>
      </x:c>
      <x:c r="H148" s="53" t="str">
        <x:v>格子形状、落脚序列、跳跃方式</x:v>
      </x:c>
      <x:c r="I148" s="53" t="str">
        <x:v>一串连跳先复制角色，再同时踩亮三个终点</x:v>
      </x:c>
      <x:c r="J148" s="53" t="str">
        <x:v>偏直观操作与空间组合的玩家</x:v>
      </x:c>
      <x:c r="K148" s="53" t="str">
        <x:v>操作容错与路径选择要协调</x:v>
      </x:c>
      <x:c r="L148" s="38"/>
      <x:c r="M148" s="38"/>
      <x:c r="N148" s="38"/>
      <x:c r="O148" s="38"/>
      <x:c r="P148" s="38"/>
    </x:row>
    <x:row r="149" ht="45" customHeight="1">
      <x:c r="A149" s="60" t="n">
        <x:v>19</x:v>
      </x:c>
      <x:c r="B149" s="58" t="str">
        <x:v>七块万能公司</x:v>
      </x:c>
      <x:c r="C149" s="52" t="str">
        <x:v>玩具与童年</x:v>
      </x:c>
      <x:c r="D149" s="52" t="str">
        <x:v>小</x:v>
      </x:c>
      <x:c r="E149" s="52" t="str">
        <x:v>备选</x:v>
      </x:c>
      <x:c r="F149" s="52" t="str">
        <x:v>七巧板拼出熟悉轮廓</x:v>
      </x:c>
      <x:c r="G149" s="52" t="str">
        <x:v>拼成的物体获得对应功能，有限零件要在工具之间反复拆装</x:v>
      </x:c>
      <x:c r="H149" s="52" t="str">
        <x:v>形状图谱、材质、连接件、零件分配</x:v>
      </x:c>
      <x:c r="I149" s="52" t="str">
        <x:v>把坦克拆成桥让队友过河，再收回零件拼成飞鸟</x:v>
      </x:c>
      <x:c r="J149" s="52" t="str">
        <x:v>偏直观操作与空间组合的玩家</x:v>
      </x:c>
      <x:c r="K149" s="52" t="str">
        <x:v>形状识别采用有限模板，避免承诺任意轮廓</x:v>
      </x:c>
      <x:c r="L149" s="38"/>
      <x:c r="M149" s="38"/>
      <x:c r="N149" s="38"/>
      <x:c r="O149" s="38"/>
      <x:c r="P149" s="38"/>
    </x:row>
    <x:row r="150" ht="45" customHeight="1">
      <x:c r="A150" s="61" t="n">
        <x:v>20</x:v>
      </x:c>
      <x:c r="B150" s="59" t="str">
        <x:v>肥皂泡运输队</x:v>
      </x:c>
      <x:c r="C150" s="53" t="str">
        <x:v>玩具与童年</x:v>
      </x:c>
      <x:c r="D150" s="53" t="str">
        <x:v>中</x:v>
      </x:c>
      <x:c r="E150" s="53" t="str">
        <x:v>备选</x:v>
      </x:c>
      <x:c r="F150" s="53" t="str">
        <x:v>吹泡泡、让泡泡包住小物件</x:v>
      </x:c>
      <x:c r="G150" s="53" t="str">
        <x:v>泡泡可以合并、分裂，表面附着物决定升力和碰撞效果</x:v>
      </x:c>
      <x:c r="H150" s="53" t="str">
        <x:v>泡膜、气体、载荷、风向</x:v>
      </x:c>
      <x:c r="I150" s="53" t="str">
        <x:v>大泡泡分成一串小泡泡，分别把货物送上不同平台</x:v>
      </x:c>
      <x:c r="J150" s="53" t="str">
        <x:v>偏直观操作与空间组合的玩家</x:v>
      </x:c>
      <x:c r="K150" s="53" t="str">
        <x:v>软体表现可以简化，先验证运输决策</x:v>
      </x:c>
      <x:c r="L150" s="38"/>
      <x:c r="M150" s="38"/>
      <x:c r="N150" s="38"/>
      <x:c r="O150" s="38"/>
      <x:c r="P150" s="38"/>
    </x:row>
    <x:row r="151" ht="45" customHeight="1">
      <x:c r="A151" s="60" t="n">
        <x:v>21</x:v>
      </x:c>
      <x:c r="B151" s="58" t="str">
        <x:v>一杆清场台球</x:v>
      </x:c>
      <x:c r="C151" s="52" t="str">
        <x:v>运动与物理</x:v>
      </x:c>
      <x:c r="D151" s="52" t="str">
        <x:v>中</x:v>
      </x:c>
      <x:c r="E151" s="52" t="str">
        <x:v>备选</x:v>
      </x:c>
      <x:c r="F151" s="52" t="str">
        <x:v>瞄准、反弹、进袋</x:v>
      </x:c>
      <x:c r="G151" s="52" t="str">
        <x:v>球与球碰撞传递能力，进袋顺序会改写剩余球的作用</x:v>
      </x:c>
      <x:c r="H151" s="52" t="str">
        <x:v>球种、球杆、库边、球袋规则</x:v>
      </x:c>
      <x:c r="I151" s="52" t="str">
        <x:v>母球一碰分裂，再把最后一球反弹进角袋</x:v>
      </x:c>
      <x:c r="J151" s="52" t="str">
        <x:v>喜爱瞄准、碰撞和可视化连锁的玩家</x:v>
      </x:c>
      <x:c r="K151" s="52" t="str">
        <x:v>需保持基础击球手感与可预测性</x:v>
      </x:c>
      <x:c r="L151" s="38"/>
      <x:c r="M151" s="38"/>
      <x:c r="N151" s="38"/>
      <x:c r="O151" s="38"/>
      <x:c r="P151" s="38"/>
    </x:row>
    <x:row r="152" ht="45" customHeight="1">
      <x:c r="A152" s="61" t="n">
        <x:v>22</x:v>
      </x:c>
      <x:c r="B152" s="59" t="str">
        <x:v>保龄球保卫战</x:v>
      </x:c>
      <x:c r="C152" s="53" t="str">
        <x:v>运动与物理</x:v>
      </x:c>
      <x:c r="D152" s="53" t="str">
        <x:v>中</x:v>
      </x:c>
      <x:c r="E152" s="53" t="str">
        <x:v>备选</x:v>
      </x:c>
      <x:c r="F152" s="53" t="str">
        <x:v>滚球击倒瓶子</x:v>
      </x:c>
      <x:c r="G152" s="53" t="str">
        <x:v>倒下的瓶子会成为下一轮路障、队友或弹射器</x:v>
      </x:c>
      <x:c r="H152" s="53" t="str">
        <x:v>球芯、瓶子类型、阵型、地面</x:v>
      </x:c>
      <x:c r="I152" s="53" t="str">
        <x:v>一排瓶子倒下变成弹射阵，把第二颗球抛到后排</x:v>
      </x:c>
      <x:c r="J152" s="53" t="str">
        <x:v>喜爱瞄准、碰撞和可视化连锁的玩家</x:v>
      </x:c>
      <x:c r="K152" s="53" t="str">
        <x:v>两轮之间的场地演化要看得清</x:v>
      </x:c>
      <x:c r="L152" s="38"/>
      <x:c r="M152" s="38"/>
      <x:c r="N152" s="38"/>
      <x:c r="O152" s="38"/>
      <x:c r="P152" s="38"/>
    </x:row>
    <x:row r="153" ht="45" customHeight="1">
      <x:c r="A153" s="60" t="n">
        <x:v>23</x:v>
      </x:c>
      <x:c r="B153" s="58" t="str">
        <x:v>飞镖连乘靶</x:v>
      </x:c>
      <x:c r="C153" s="52" t="str">
        <x:v>运动与物理</x:v>
      </x:c>
      <x:c r="D153" s="52" t="str">
        <x:v>小</x:v>
      </x:c>
      <x:c r="E153" s="52" t="str">
        <x:v>备选</x:v>
      </x:c>
      <x:c r="F153" s="52" t="str">
        <x:v>瞄准靶心和分数区</x:v>
      </x:c>
      <x:c r="G153" s="52" t="str">
        <x:v>玩家可以剪贴靶区，飞镖穿过重叠区域连续触发效果</x:v>
      </x:c>
      <x:c r="H153" s="52" t="str">
        <x:v>靶区、重叠、飞镖、穿透层数</x:v>
      </x:c>
      <x:c r="I153" s="52" t="str">
        <x:v>一镖穿过三个叠靶，分数沿命中路径层层放大</x:v>
      </x:c>
      <x:c r="J153" s="52" t="str">
        <x:v>喜爱瞄准、碰撞和可视化连锁的玩家</x:v>
      </x:c>
      <x:c r="K153" s="52" t="str">
        <x:v>需要保留瞄准与布局两方面贡献</x:v>
      </x:c>
      <x:c r="L153" s="38"/>
      <x:c r="M153" s="38"/>
      <x:c r="N153" s="38"/>
      <x:c r="O153" s="38"/>
      <x:c r="P153" s="38"/>
    </x:row>
    <x:row r="154" ht="45" customHeight="1">
      <x:c r="A154" s="61" t="n">
        <x:v>24</x:v>
      </x:c>
      <x:c r="B154" s="59" t="str">
        <x:v>打砖块建筑师</x:v>
      </x:c>
      <x:c r="C154" s="53" t="str">
        <x:v>运动与物理</x:v>
      </x:c>
      <x:c r="D154" s="53" t="str">
        <x:v>中</x:v>
      </x:c>
      <x:c r="E154" s="53" t="str">
        <x:v>备选</x:v>
      </x:c>
      <x:c r="F154" s="53" t="str">
        <x:v>挡板接球、反弹、打碎砖块</x:v>
      </x:c>
      <x:c r="G154" s="53" t="str">
        <x:v>打下的砖能装上挡板，也能重新放到场中组成反弹路线</x:v>
      </x:c>
      <x:c r="H154" s="53" t="str">
        <x:v>挡板形状、砖块能力、反弹通道</x:v>
      </x:c>
      <x:c r="I154" s="53" t="str">
        <x:v>拆掉敌墙拼成大挡板，再把球送进自己搭的连击区</x:v>
      </x:c>
      <x:c r="J154" s="53" t="str">
        <x:v>喜爱瞄准、碰撞和可视化连锁的玩家</x:v>
      </x:c>
      <x:c r="K154" s="53" t="str">
        <x:v>循环应有耐久和空间代价</x:v>
      </x:c>
      <x:c r="L154" s="38"/>
      <x:c r="M154" s="38"/>
      <x:c r="N154" s="38"/>
      <x:c r="O154" s="38"/>
      <x:c r="P154" s="38"/>
    </x:row>
    <x:row r="155" ht="45" customHeight="1">
      <x:c r="A155" s="60" t="n">
        <x:v>25</x:v>
      </x:c>
      <x:c r="B155" s="58" t="str">
        <x:v>扣杀蓄能羽毛球</x:v>
      </x:c>
      <x:c r="C155" s="52" t="str">
        <x:v>运动与物理</x:v>
      </x:c>
      <x:c r="D155" s="52" t="str">
        <x:v>中</x:v>
      </x:c>
      <x:c r="E155" s="52" t="str">
        <x:v>备选</x:v>
      </x:c>
      <x:c r="F155" s="52" t="str">
        <x:v>拉吊、接杀、寻找空档</x:v>
      </x:c>
      <x:c r="G155" s="52" t="str">
        <x:v>每次成功防守可保留一段球路，最后把多段球路叠成一次进攻</x:v>
      </x:c>
      <x:c r="H155" s="52" t="str">
        <x:v>拍面、步法、球路片段、体力</x:v>
      </x:c>
      <x:c r="I155" s="52" t="str">
        <x:v>接住三次重杀后，反击打出三条不同落点的球路</x:v>
      </x:c>
      <x:c r="J155" s="52" t="str">
        <x:v>喜爱瞄准、碰撞和可视化连锁的玩家</x:v>
      </x:c>
      <x:c r="K155" s="52" t="str">
        <x:v>球路构筑应能改变策略而非只增伤</x:v>
      </x:c>
      <x:c r="L155" s="38"/>
      <x:c r="M155" s="38"/>
      <x:c r="N155" s="38"/>
      <x:c r="O155" s="38"/>
      <x:c r="P155" s="38"/>
    </x:row>
    <x:row r="156" ht="45" customHeight="1">
      <x:c r="A156" s="61" t="n">
        <x:v>26</x:v>
      </x:c>
      <x:c r="B156" s="59" t="str">
        <x:v>魔改迷你高尔夫</x:v>
      </x:c>
      <x:c r="C156" s="53" t="str">
        <x:v>运动与物理</x:v>
      </x:c>
      <x:c r="D156" s="53" t="str">
        <x:v>中</x:v>
      </x:c>
      <x:c r="E156" s="53" t="str">
        <x:v>备选</x:v>
      </x:c>
      <x:c r="F156" s="53" t="str">
        <x:v>选角度、打进球洞</x:v>
      </x:c>
      <x:c r="G156" s="53" t="str">
        <x:v>上一洞拿到的地形件可以带到下一洞，球洞本身也能强化</x:v>
      </x:c>
      <x:c r="H156" s="53" t="str">
        <x:v>球、球杆、便携坡道、洞口效果</x:v>
      </x:c>
      <x:c r="I156" s="53" t="str">
        <x:v>先铺坡道再打一杆，球飞过障碍并召回场上奖励</x:v>
      </x:c>
      <x:c r="J156" s="53" t="str">
        <x:v>喜爱瞄准、碰撞和可视化连锁的玩家</x:v>
      </x:c>
      <x:c r="K156" s="53" t="str">
        <x:v>便携地形数量有限才能形成取舍</x:v>
      </x:c>
      <x:c r="L156" s="38"/>
      <x:c r="M156" s="38"/>
      <x:c r="N156" s="38"/>
      <x:c r="O156" s="38"/>
      <x:c r="P156" s="38"/>
    </x:row>
    <x:row r="157" ht="45" customHeight="1">
      <x:c r="A157" s="60" t="n">
        <x:v>27</x:v>
      </x:c>
      <x:c r="B157" s="58" t="str">
        <x:v>贪吃蛇孵化场</x:v>
      </x:c>
      <x:c r="C157" s="52" t="str">
        <x:v>运动与物理</x:v>
      </x:c>
      <x:c r="D157" s="52" t="str">
        <x:v>小</x:v>
      </x:c>
      <x:c r="E157" s="52" t="str">
        <x:v>首轮候选</x:v>
      </x:c>
      <x:c r="F157" s="52" t="str">
        <x:v>吃东西变长、避免撞到自己</x:v>
      </x:c>
      <x:c r="G157" s="52" t="str">
        <x:v>身体各节是功能模块，主动断尾可孵化自主小蛇</x:v>
      </x:c>
      <x:c r="H157" s="52" t="str">
        <x:v>身体次序、切割点、蛇群分工</x:v>
      </x:c>
      <x:c r="I157" s="52" t="str">
        <x:v>一条长蛇分成六条采集蛇，资源从不同方向汇回</x:v>
      </x:c>
      <x:c r="J157" s="52" t="str">
        <x:v>喜爱瞄准、碰撞和可视化连锁的玩家</x:v>
      </x:c>
      <x:c r="K157" s="52" t="str">
        <x:v>分裂必须牺牲主蛇能力，不能无脑越多越好</x:v>
      </x:c>
      <x:c r="L157" s="38"/>
      <x:c r="M157" s="38"/>
      <x:c r="N157" s="38"/>
      <x:c r="O157" s="38"/>
      <x:c r="P157" s="38"/>
    </x:row>
    <x:row r="158" ht="45" customHeight="1">
      <x:c r="A158" s="61" t="n">
        <x:v>28</x:v>
      </x:c>
      <x:c r="B158" s="59" t="str">
        <x:v>钓鱼食物链</x:v>
      </x:c>
      <x:c r="C158" s="53" t="str">
        <x:v>运动与物理</x:v>
      </x:c>
      <x:c r="D158" s="53" t="str">
        <x:v>中</x:v>
      </x:c>
      <x:c r="E158" s="53" t="str">
        <x:v>备选</x:v>
      </x:c>
      <x:c r="F158" s="53" t="str">
        <x:v>选鱼饵、抛竿、收线</x:v>
      </x:c>
      <x:c r="G158" s="53" t="str">
        <x:v>钓到的鱼可留作成果，也可变成引来更大目标的鱼饵</x:v>
      </x:c>
      <x:c r="H158" s="53" t="str">
        <x:v>鱼饵链、鱼钩、鱼线、水域</x:v>
      </x:c>
      <x:c r="I158" s="53" t="str">
        <x:v>一条小鱼连引三次，最后拖出比小船还大的猎物</x:v>
      </x:c>
      <x:c r="J158" s="53" t="str">
        <x:v>喜爱瞄准、碰撞和可视化连锁的玩家</x:v>
      </x:c>
      <x:c r="K158" s="53" t="str">
        <x:v>操作失败不能抹掉过长的准备过程</x:v>
      </x:c>
      <x:c r="L158" s="38"/>
      <x:c r="M158" s="38"/>
      <x:c r="N158" s="38"/>
      <x:c r="O158" s="38"/>
      <x:c r="P158" s="38"/>
    </x:row>
    <x:row r="159" ht="45" customHeight="1">
      <x:c r="A159" s="60" t="n">
        <x:v>29</x:v>
      </x:c>
      <x:c r="B159" s="58" t="str">
        <x:v>水漂接力</x:v>
      </x:c>
      <x:c r="C159" s="52" t="str">
        <x:v>运动与物理</x:v>
      </x:c>
      <x:c r="D159" s="52" t="str">
        <x:v>中</x:v>
      </x:c>
      <x:c r="E159" s="52" t="str">
        <x:v>备选</x:v>
      </x:c>
      <x:c r="F159" s="52" t="str">
        <x:v>扔扁石、数水面连续跳点</x:v>
      </x:c>
      <x:c r="G159" s="52" t="str">
        <x:v>前一颗石头留下短时涟漪跳板，后一颗可沿旧路线继续</x:v>
      </x:c>
      <x:c r="H159" s="52" t="str">
        <x:v>石材、涟漪、岸边设施、水流</x:v>
      </x:c>
      <x:c r="I159" s="52" t="str">
        <x:v>第一投铺路，第二投沿整条涟漪跨过湖面敲响远岸钟</x:v>
      </x:c>
      <x:c r="J159" s="52" t="str">
        <x:v>喜爱瞄准、碰撞和可视化连锁的玩家</x:v>
      </x:c>
      <x:c r="K159" s="52" t="str">
        <x:v>接力路线应可预测，需快速重试</x:v>
      </x:c>
      <x:c r="L159" s="38"/>
      <x:c r="M159" s="38"/>
      <x:c r="N159" s="38"/>
      <x:c r="O159" s="38"/>
      <x:c r="P159" s="38"/>
    </x:row>
    <x:row r="160" ht="45" customHeight="1">
      <x:c r="A160" s="61" t="n">
        <x:v>30</x:v>
      </x:c>
      <x:c r="B160" s="59" t="str">
        <x:v>篮球永动机</x:v>
      </x:c>
      <x:c r="C160" s="53" t="str">
        <x:v>运动与物理</x:v>
      </x:c>
      <x:c r="D160" s="53" t="str">
        <x:v>中</x:v>
      </x:c>
      <x:c r="E160" s="53" t="str">
        <x:v>备选</x:v>
      </x:c>
      <x:c r="F160" s="53" t="str">
        <x:v>瞄准篮筐、投球、进球</x:v>
      </x:c>
      <x:c r="G160" s="53" t="str">
        <x:v>球进筐后按设定角度再次发射，篮筐逐渐形成接力网络</x:v>
      </x:c>
      <x:c r="H160" s="53" t="str">
        <x:v>篮筐、出球角度、球特性、分流</x:v>
      </x:c>
      <x:c r="I160" s="53" t="str">
        <x:v>只投第一球，球场自己接力投篮并分裂出一场球雨</x:v>
      </x:c>
      <x:c r="J160" s="53" t="str">
        <x:v>喜爱瞄准、碰撞和可视化连锁的玩家</x:v>
      </x:c>
      <x:c r="K160" s="53" t="str">
        <x:v>每球能量或寿命有限，避免无限循环唯一化</x:v>
      </x:c>
      <x:c r="L160" s="38"/>
      <x:c r="M160" s="38"/>
      <x:c r="N160" s="38"/>
      <x:c r="O160" s="38"/>
      <x:c r="P160" s="38"/>
    </x:row>
    <x:row r="161" ht="45" customHeight="1">
      <x:c r="A161" s="60" t="n">
        <x:v>31</x:v>
      </x:c>
      <x:c r="B161" s="58" t="str">
        <x:v>火锅连锁局</x:v>
      </x:c>
      <x:c r="C161" s="52" t="str">
        <x:v>厨房与食物</x:v>
      </x:c>
      <x:c r="D161" s="52" t="str">
        <x:v>小</x:v>
      </x:c>
      <x:c r="E161" s="52" t="str">
        <x:v>首轮候选</x:v>
      </x:c>
      <x:c r="F161" s="52" t="str">
        <x:v>下料、涮熟、捞起蘸料</x:v>
      </x:c>
      <x:c r="G161" s="52" t="str">
        <x:v>食材在锅里会影响相邻食材，捞取顺序改变后续锅底</x:v>
      </x:c>
      <x:c r="H161" s="52" t="str">
        <x:v>锅底、食材邻接、熟度、蘸料</x:v>
      </x:c>
      <x:c r="I161" s="52" t="str">
        <x:v>先捞走吸辣食材，让一锅菜同时进入最佳状态</x:v>
      </x:c>
      <x:c r="J161" s="52" t="str">
        <x:v>偏生活题材、经营与组合的玩家</x:v>
      </x:c>
      <x:c r="K161" s="52" t="str">
        <x:v>味道和熟度要用有限清晰标签表示</x:v>
      </x:c>
      <x:c r="L161" s="38"/>
      <x:c r="M161" s="38"/>
      <x:c r="N161" s="38"/>
      <x:c r="O161" s="38"/>
      <x:c r="P161" s="38"/>
    </x:row>
    <x:row r="162" ht="45" customHeight="1">
      <x:c r="A162" s="61" t="n">
        <x:v>32</x:v>
      </x:c>
      <x:c r="B162" s="59" t="str">
        <x:v>回转寿司工坊</x:v>
      </x:c>
      <x:c r="C162" s="53" t="str">
        <x:v>厨房与食物</x:v>
      </x:c>
      <x:c r="D162" s="53" t="str">
        <x:v>小</x:v>
      </x:c>
      <x:c r="E162" s="53" t="str">
        <x:v>首轮候选</x:v>
      </x:c>
      <x:c r="F162" s="53" t="str">
        <x:v>盘子沿传送带经过客人</x:v>
      </x:c>
      <x:c r="G162" s="53" t="str">
        <x:v>客人和厨具是沿线触发器，盘子跑过一圈会被加工或消费</x:v>
      </x:c>
      <x:c r="H162" s="53" t="str">
        <x:v>传送带次序、食材、站点、客人</x:v>
      </x:c>
      <x:c r="I162" s="53" t="str">
        <x:v>一盘米饭绕一圈变豪华寿司，出售后再带回原料</x:v>
      </x:c>
      <x:c r="J162" s="53" t="str">
        <x:v>偏生活题材、经营与组合的玩家</x:v>
      </x:c>
      <x:c r="K162" s="53" t="str">
        <x:v>要限制循环次数并保留订单压力</x:v>
      </x:c>
      <x:c r="L162" s="38"/>
      <x:c r="M162" s="38"/>
      <x:c r="N162" s="38"/>
      <x:c r="O162" s="38"/>
      <x:c r="P162" s="38"/>
    </x:row>
    <x:row r="163" ht="45" customHeight="1">
      <x:c r="A163" s="60" t="n">
        <x:v>33</x:v>
      </x:c>
      <x:c r="B163" s="58" t="str">
        <x:v>串串阵列</x:v>
      </x:c>
      <x:c r="C163" s="52" t="str">
        <x:v>厨房与食物</x:v>
      </x:c>
      <x:c r="D163" s="52" t="str">
        <x:v>小</x:v>
      </x:c>
      <x:c r="E163" s="52" t="str">
        <x:v>备选</x:v>
      </x:c>
      <x:c r="F163" s="52" t="str">
        <x:v>把食材穿成一串再烤</x:v>
      </x:c>
      <x:c r="G163" s="52" t="str">
        <x:v>串签决定触发方向，某些食材会把效果传给前后邻居</x:v>
      </x:c>
      <x:c r="H163" s="52" t="str">
        <x:v>食材次序、签子、火区、撒料</x:v>
      </x:c>
      <x:c r="I163" s="52" t="str">
        <x:v>一个辣椒沿整串传火，最后一块肉吃满前面所有加成</x:v>
      </x:c>
      <x:c r="J163" s="52" t="str">
        <x:v>偏生活题材、经营与组合的玩家</x:v>
      </x:c>
      <x:c r="K163" s="52" t="str">
        <x:v>需要不同排列各有用途</x:v>
      </x:c>
      <x:c r="L163" s="38"/>
      <x:c r="M163" s="38"/>
      <x:c r="N163" s="38"/>
      <x:c r="O163" s="38"/>
      <x:c r="P163" s="38"/>
    </x:row>
    <x:row r="164" ht="45" customHeight="1">
      <x:c r="A164" s="61" t="n">
        <x:v>34</x:v>
      </x:c>
      <x:c r="B164" s="59" t="str">
        <x:v>咖啡分层术</x:v>
      </x:c>
      <x:c r="C164" s="53" t="str">
        <x:v>厨房与食物</x:v>
      </x:c>
      <x:c r="D164" s="53" t="str">
        <x:v>小</x:v>
      </x:c>
      <x:c r="E164" s="53" t="str">
        <x:v>备选</x:v>
      </x:c>
      <x:c r="F164" s="53" t="str">
        <x:v>研磨、萃取、加奶、分层</x:v>
      </x:c>
      <x:c r="G164" s="53" t="str">
        <x:v>每层饮品改变穿过它的下一层效果，杯型限定流动路线</x:v>
      </x:c>
      <x:c r="H164" s="53" t="str">
        <x:v>豆子、萃取方式、层次、杯子</x:v>
      </x:c>
      <x:c r="I164" s="53" t="str">
        <x:v>一杯咖啡形成自动回流，让奶泡连续触发香气加成</x:v>
      </x:c>
      <x:c r="J164" s="53" t="str">
        <x:v>偏生活题材、经营与组合的玩家</x:v>
      </x:c>
      <x:c r="K164" s="53" t="str">
        <x:v>真实知识只作直觉，不要求玩家背配方</x:v>
      </x:c>
      <x:c r="L164" s="38"/>
      <x:c r="M164" s="38"/>
      <x:c r="N164" s="38"/>
      <x:c r="O164" s="38"/>
      <x:c r="P164" s="38"/>
    </x:row>
    <x:row r="165" ht="45" customHeight="1">
      <x:c r="A165" s="60" t="n">
        <x:v>35</x:v>
      </x:c>
      <x:c r="B165" s="58" t="str">
        <x:v>烤箱时间差</x:v>
      </x:c>
      <x:c r="C165" s="52" t="str">
        <x:v>厨房与食物</x:v>
      </x:c>
      <x:c r="D165" s="52" t="str">
        <x:v>小</x:v>
      </x:c>
      <x:c r="E165" s="52" t="str">
        <x:v>备选</x:v>
      </x:c>
      <x:c r="F165" s="52" t="str">
        <x:v>放入烤盘、调整温度、等出炉</x:v>
      </x:c>
      <x:c r="G165" s="52" t="str">
        <x:v>食物释放的热量与蒸汽影响邻盘，出炉时间也成为构筑资源</x:v>
      </x:c>
      <x:c r="H165" s="52" t="str">
        <x:v>烤盘布局、温度曲线、食材、出炉顺序</x:v>
      </x:c>
      <x:c r="I165" s="52" t="str">
        <x:v>先出炉一盘腾出热流，让后面三盘同时刚好成熟</x:v>
      </x:c>
      <x:c r="J165" s="52" t="str">
        <x:v>偏生活题材、经营与组合的玩家</x:v>
      </x:c>
      <x:c r="K165" s="52" t="str">
        <x:v>等待必须承载决策，不能只是倒计时</x:v>
      </x:c>
      <x:c r="L165" s="38"/>
      <x:c r="M165" s="38"/>
      <x:c r="N165" s="38"/>
      <x:c r="O165" s="38"/>
      <x:c r="P165" s="38"/>
    </x:row>
    <x:row r="166" ht="45" customHeight="1">
      <x:c r="A166" s="61" t="n">
        <x:v>36</x:v>
      </x:c>
      <x:c r="B166" s="59" t="str">
        <x:v>刀工无限</x:v>
      </x:c>
      <x:c r="C166" s="53" t="str">
        <x:v>厨房与食物</x:v>
      </x:c>
      <x:c r="D166" s="53" t="str">
        <x:v>小</x:v>
      </x:c>
      <x:c r="E166" s="53" t="str">
        <x:v>备选</x:v>
      </x:c>
      <x:c r="F166" s="53" t="str">
        <x:v>切片、切丝、剁碎、装盘</x:v>
      </x:c>
      <x:c r="G166" s="53" t="str">
        <x:v>切开不增加食材总量，却增加入口触发次数，也会失去完整食材奖励</x:v>
      </x:c>
      <x:c r="H166" s="53" t="str">
        <x:v>刀具、切法、酱汁、完整度</x:v>
      </x:c>
      <x:c r="I166" s="53" t="str">
        <x:v>一根萝卜切成三十片，每片蘸酱触发一次连击</x:v>
      </x:c>
      <x:c r="J166" s="53" t="str">
        <x:v>偏生活题材、经营与组合的玩家</x:v>
      </x:c>
      <x:c r="K166" s="53" t="str">
        <x:v>触发次数与总量、口感须形成取舍</x:v>
      </x:c>
      <x:c r="L166" s="38"/>
      <x:c r="M166" s="38"/>
      <x:c r="N166" s="38"/>
      <x:c r="O166" s="38"/>
      <x:c r="P166" s="38"/>
    </x:row>
    <x:row r="167" ht="45" customHeight="1">
      <x:c r="A167" s="60" t="n">
        <x:v>37</x:v>
      </x:c>
      <x:c r="B167" s="58" t="str">
        <x:v>冰箱时间仓</x:v>
      </x:c>
      <x:c r="C167" s="52" t="str">
        <x:v>厨房与食物</x:v>
      </x:c>
      <x:c r="D167" s="52" t="str">
        <x:v>小</x:v>
      </x:c>
      <x:c r="E167" s="52" t="str">
        <x:v>备选</x:v>
      </x:c>
      <x:c r="F167" s="52" t="str">
        <x:v>分层收纳、保鲜、解冻</x:v>
      </x:c>
      <x:c r="G167" s="52" t="str">
        <x:v>不同温区拥有不同时间速度，食材转化后可继承旧标签</x:v>
      </x:c>
      <x:c r="H167" s="52" t="str">
        <x:v>温区、容器、转化链、订单时机</x:v>
      </x:c>
      <x:c r="I167" s="52" t="str">
        <x:v>把水果变成果酒再移入慢时区，一整冰箱同时成熟</x:v>
      </x:c>
      <x:c r="J167" s="52" t="str">
        <x:v>偏生活题材、经营与组合的玩家</x:v>
      </x:c>
      <x:c r="K167" s="52" t="str">
        <x:v>时间状态需可预告，不能靠等候撑时长</x:v>
      </x:c>
      <x:c r="L167" s="38"/>
      <x:c r="M167" s="38"/>
      <x:c r="N167" s="38"/>
      <x:c r="O167" s="38"/>
      <x:c r="P167" s="38"/>
    </x:row>
    <x:row r="168" ht="45" customHeight="1">
      <x:c r="A168" s="61" t="n">
        <x:v>38</x:v>
      </x:c>
      <x:c r="B168" s="59" t="str">
        <x:v>饺子兵工厂</x:v>
      </x:c>
      <x:c r="C168" s="53" t="str">
        <x:v>厨房与食物</x:v>
      </x:c>
      <x:c r="D168" s="53" t="str">
        <x:v>小</x:v>
      </x:c>
      <x:c r="E168" s="53" t="str">
        <x:v>备选</x:v>
      </x:c>
      <x:c r="F168" s="53" t="str">
        <x:v>包馅、封口、蒸煮</x:v>
      </x:c>
      <x:c r="G168" s="53" t="str">
        <x:v>褶数和馅料分区决定吃到时的触发顺序，破皮也有可利用效果</x:v>
      </x:c>
      <x:c r="H168" s="53" t="str">
        <x:v>馅料、褶子、皮厚、烹调方式</x:v>
      </x:c>
      <x:c r="I168" s="53" t="str">
        <x:v>一个饺子破开变成三份小料理，连续满足三位客人</x:v>
      </x:c>
      <x:c r="J168" s="53" t="str">
        <x:v>偏生活题材、经营与组合的玩家</x:v>
      </x:c>
      <x:c r="K168" s="53" t="str">
        <x:v>外观需能表达内部规则</x:v>
      </x:c>
      <x:c r="L168" s="38"/>
      <x:c r="M168" s="38"/>
      <x:c r="N168" s="38"/>
      <x:c r="O168" s="38"/>
      <x:c r="P168" s="38"/>
    </x:row>
    <x:row r="169" ht="45" customHeight="1">
      <x:c r="A169" s="60" t="n">
        <x:v>39</x:v>
      </x:c>
      <x:c r="B169" s="58" t="str">
        <x:v>调酒元素塔</x:v>
      </x:c>
      <x:c r="C169" s="52" t="str">
        <x:v>厨房与食物</x:v>
      </x:c>
      <x:c r="D169" s="52" t="str">
        <x:v>小</x:v>
      </x:c>
      <x:c r="E169" s="52" t="str">
        <x:v>备选</x:v>
      </x:c>
      <x:c r="F169" s="52" t="str">
        <x:v>倒酒、摇匀、加冰、装饰</x:v>
      </x:c>
      <x:c r="G169" s="52" t="str">
        <x:v>摇匀与分层是两种相反策略，颜色标签可相互中和或放大</x:v>
      </x:c>
      <x:c r="H169" s="52" t="str">
        <x:v>配料、分层、冰块、摇法</x:v>
      </x:c>
      <x:c r="I169" s="52" t="str">
        <x:v>同一组原料用不同顺序，分别调出持续加成与一次爆发</x:v>
      </x:c>
      <x:c r="J169" s="52" t="str">
        <x:v>偏生活题材、经营与组合的玩家</x:v>
      </x:c>
      <x:c r="K169" s="52" t="str">
        <x:v>不能沦为只看攻略的固定配方</x:v>
      </x:c>
      <x:c r="L169" s="38"/>
      <x:c r="M169" s="38"/>
      <x:c r="N169" s="38"/>
      <x:c r="O169" s="38"/>
      <x:c r="P169" s="38"/>
    </x:row>
    <x:row r="170" ht="45" customHeight="1">
      <x:c r="A170" s="61" t="n">
        <x:v>40</x:v>
      </x:c>
      <x:c r="B170" s="59" t="str">
        <x:v>早餐摊连单王</x:v>
      </x:c>
      <x:c r="C170" s="53" t="str">
        <x:v>厨房与食物</x:v>
      </x:c>
      <x:c r="D170" s="53" t="str">
        <x:v>中</x:v>
      </x:c>
      <x:c r="E170" s="53" t="str">
        <x:v>备选</x:v>
      </x:c>
      <x:c r="F170" s="53" t="str">
        <x:v>接单、煎蛋、装袋、交餐</x:v>
      </x:c>
      <x:c r="G170" s="53" t="str">
        <x:v>完成某类订单会改造下一张订单，连续出餐形成资源循环</x:v>
      </x:c>
      <x:c r="H170" s="53" t="str">
        <x:v>煎锅、订单链、备料、打包顺序</x:v>
      </x:c>
      <x:c r="I170" s="53" t="str">
        <x:v>先做一份简单早餐，连锁触发三张加单一次清空队伍</x:v>
      </x:c>
      <x:c r="J170" s="53" t="str">
        <x:v>偏生活题材、经营与组合的玩家</x:v>
      </x:c>
      <x:c r="K170" s="53" t="str">
        <x:v>订单变化应可预告，手忙脚乱不是唯一乐趣</x:v>
      </x:c>
      <x:c r="L170" s="38"/>
      <x:c r="M170" s="38"/>
      <x:c r="N170" s="38"/>
      <x:c r="O170" s="38"/>
      <x:c r="P170" s="38"/>
    </x:row>
    <x:row r="171" ht="45" customHeight="1">
      <x:c r="A171" s="60" t="n">
        <x:v>41</x:v>
      </x:c>
      <x:c r="B171" s="58" t="str">
        <x:v>小票炼金术</x:v>
      </x:c>
      <x:c r="C171" s="52" t="str">
        <x:v>购物与交换</x:v>
      </x:c>
      <x:c r="D171" s="52" t="str">
        <x:v>小</x:v>
      </x:c>
      <x:c r="E171" s="52" t="str">
        <x:v>首轮候选</x:v>
      </x:c>
      <x:c r="F171" s="52" t="str">
        <x:v>凑单、用券、满减、结账</x:v>
      </x:c>
      <x:c r="G171" s="52" t="str">
        <x:v>商品标签能改变，优惠按小票次序触发，一件商品可参与多组条件</x:v>
      </x:c>
      <x:c r="H171" s="52" t="str">
        <x:v>商品标签、券槽、小票顺序、预算</x:v>
      </x:c>
      <x:c r="I171" s="52" t="str">
        <x:v>一瓶酱油兼属调料和礼盒，连吃三组优惠完成整车采购</x:v>
      </x:c>
      <x:c r="J171" s="52" t="str">
        <x:v>熟悉消费、经营和资源取舍的玩家</x:v>
      </x:c>
      <x:c r="K171" s="52" t="str">
        <x:v>先用少量架空促销规则，避免变成复杂算术题</x:v>
      </x:c>
      <x:c r="L171" s="38"/>
      <x:c r="M171" s="38"/>
      <x:c r="N171" s="38"/>
      <x:c r="O171" s="38"/>
      <x:c r="P171" s="38"/>
    </x:row>
    <x:row r="172" ht="45" customHeight="1">
      <x:c r="A172" s="61" t="n">
        <x:v>42</x:v>
      </x:c>
      <x:c r="B172" s="59" t="str">
        <x:v>砍价拍卖会</x:v>
      </x:c>
      <x:c r="C172" s="53" t="str">
        <x:v>购物与交换</x:v>
      </x:c>
      <x:c r="D172" s="53" t="str">
        <x:v>小</x:v>
      </x:c>
      <x:c r="E172" s="53" t="str">
        <x:v>备选</x:v>
      </x:c>
      <x:c r="F172" s="53" t="str">
        <x:v>叫价、估价、决定要不要加价</x:v>
      </x:c>
      <x:c r="G172" s="53" t="str">
        <x:v>买到的物品也能变成下一场的叫价筹码，卖家偏好改变交换价值</x:v>
      </x:c>
      <x:c r="H172" s="53" t="str">
        <x:v>物品标签、鉴定工具、叫价手段、信誉</x:v>
      </x:c>
      <x:c r="I172" s="53" t="str">
        <x:v>一只旧表拆成两个稀缺零件，换回刚才买不起的宝物</x:v>
      </x:c>
      <x:c r="J172" s="53" t="str">
        <x:v>熟悉消费、经营和资源取舍的玩家</x:v>
      </x:c>
      <x:c r="K172" s="53" t="str">
        <x:v>对手偏好需要可推理，避免纯盲猜价格</x:v>
      </x:c>
      <x:c r="L172" s="38"/>
      <x:c r="M172" s="38"/>
      <x:c r="N172" s="38"/>
      <x:c r="O172" s="38"/>
      <x:c r="P172" s="38"/>
    </x:row>
    <x:row r="173" ht="45" customHeight="1">
      <x:c r="A173" s="60" t="n">
        <x:v>43</x:v>
      </x:c>
      <x:c r="B173" s="58" t="str">
        <x:v>货架吸客阵</x:v>
      </x:c>
      <x:c r="C173" s="52" t="str">
        <x:v>购物与交换</x:v>
      </x:c>
      <x:c r="D173" s="52" t="str">
        <x:v>小</x:v>
      </x:c>
      <x:c r="E173" s="52" t="str">
        <x:v>备选</x:v>
      </x:c>
      <x:c r="F173" s="52" t="str">
        <x:v>摆商品、让顾客逛店</x:v>
      </x:c>
      <x:c r="G173" s="52" t="str">
        <x:v>顾客路线受标签吸引，货架位置决定连续购买和兴趣变化</x:v>
      </x:c>
      <x:c r="H173" s="52" t="str">
        <x:v>货架邻接、商品标签、试吃、路线</x:v>
      </x:c>
      <x:c r="I173" s="52" t="str">
        <x:v>一包薯片引人经过饮料和聚会区，一位客人带走整套组合</x:v>
      </x:c>
      <x:c r="J173" s="52" t="str">
        <x:v>熟悉消费、经营和资源取舍的玩家</x:v>
      </x:c>
      <x:c r="K173" s="52" t="str">
        <x:v>商品选择不能只剩下固定最佳陈列</x:v>
      </x:c>
      <x:c r="L173" s="38"/>
      <x:c r="M173" s="38"/>
      <x:c r="N173" s="38"/>
      <x:c r="O173" s="38"/>
      <x:c r="P173" s="38"/>
    </x:row>
    <x:row r="174" ht="45" customHeight="1">
      <x:c r="A174" s="61" t="n">
        <x:v>44</x:v>
      </x:c>
      <x:c r="B174" s="59" t="str">
        <x:v>汽水贩卖机</x:v>
      </x:c>
      <x:c r="C174" s="53" t="str">
        <x:v>购物与交换</x:v>
      </x:c>
      <x:c r="D174" s="53" t="str">
        <x:v>中</x:v>
      </x:c>
      <x:c r="E174" s="53" t="str">
        <x:v>备选</x:v>
      </x:c>
      <x:c r="F174" s="53" t="str">
        <x:v>投币、选货、看商品掉下来</x:v>
      </x:c>
      <x:c r="G174" s="53" t="str">
        <x:v>硬币成为实体弹珠，落下的商品又会触发其他货道</x:v>
      </x:c>
      <x:c r="H174" s="53" t="str">
        <x:v>货道、弹簧、硬币、商品形状</x:v>
      </x:c>
      <x:c r="I174" s="53" t="str">
        <x:v>薄荷糖掉进汽水，喷流弹开上层货架，一币连出多件</x:v>
      </x:c>
      <x:c r="J174" s="53" t="str">
        <x:v>熟悉消费、经营和资源取舍的玩家</x:v>
      </x:c>
      <x:c r="K174" s="53" t="str">
        <x:v>需区别于已有弹珠与推币构筑的核心节奏</x:v>
      </x:c>
      <x:c r="L174" s="38"/>
      <x:c r="M174" s="38"/>
      <x:c r="N174" s="38"/>
      <x:c r="O174" s="38"/>
      <x:c r="P174" s="38"/>
    </x:row>
    <x:row r="175" ht="45" customHeight="1">
      <x:c r="A175" s="60" t="n">
        <x:v>45</x:v>
      </x:c>
      <x:c r="B175" s="58" t="str">
        <x:v>拆箱连锁</x:v>
      </x:c>
      <x:c r="C175" s="52" t="str">
        <x:v>购物与交换</x:v>
      </x:c>
      <x:c r="D175" s="52" t="str">
        <x:v>中</x:v>
      </x:c>
      <x:c r="E175" s="52" t="str">
        <x:v>备选</x:v>
      </x:c>
      <x:c r="F175" s="52" t="str">
        <x:v>划胶带、撕包装、拆快递</x:v>
      </x:c>
      <x:c r="G175" s="52" t="str">
        <x:v>包装既是阻碍也是下轮工具，拆法决定保留哪些部件</x:v>
      </x:c>
      <x:c r="H175" s="52" t="str">
        <x:v>刀具、打包带、纸板、箱体结构</x:v>
      </x:c>
      <x:c r="I175" s="52" t="str">
        <x:v>把六箱封条连成拉索，一拉依次开箱并自动分类</x:v>
      </x:c>
      <x:c r="J175" s="52" t="str">
        <x:v>熟悉消费、经营和资源取舍的玩家</x:v>
      </x:c>
      <x:c r="K175" s="52" t="str">
        <x:v>奖励应有部分信息，玩法重点放在拆法</x:v>
      </x:c>
      <x:c r="L175" s="38"/>
      <x:c r="M175" s="38"/>
      <x:c r="N175" s="38"/>
      <x:c r="O175" s="38"/>
      <x:c r="P175" s="38"/>
    </x:row>
    <x:row r="176" ht="45" customHeight="1">
      <x:c r="A176" s="61" t="n">
        <x:v>46</x:v>
      </x:c>
      <x:c r="B176" s="59" t="str">
        <x:v>旧货拼装行</x:v>
      </x:c>
      <x:c r="C176" s="53" t="str">
        <x:v>购物与交换</x:v>
      </x:c>
      <x:c r="D176" s="53" t="str">
        <x:v>小</x:v>
      </x:c>
      <x:c r="E176" s="53" t="str">
        <x:v>备选</x:v>
      </x:c>
      <x:c r="F176" s="53" t="str">
        <x:v>逛旧货摊、拆零件、修东西</x:v>
      </x:c>
      <x:c r="G176" s="53" t="str">
        <x:v>缺陷可转移到别的物件，修补后留下独特能力与代价</x:v>
      </x:c>
      <x:c r="H176" s="53" t="str">
        <x:v>缺陷标签、零件接口、工具、客人需求</x:v>
      </x:c>
      <x:c r="I176" s="53" t="str">
        <x:v>把漏气泵装到会喷水的旧壶上，拼出稀奇清洁装置</x:v>
      </x:c>
      <x:c r="J176" s="53" t="str">
        <x:v>熟悉消费、经营和资源取舍的玩家</x:v>
      </x:c>
      <x:c r="K176" s="53" t="str">
        <x:v>限制接口类型，避免物品组合无限膨胀</x:v>
      </x:c>
      <x:c r="L176" s="38"/>
      <x:c r="M176" s="38"/>
      <x:c r="N176" s="38"/>
      <x:c r="O176" s="38"/>
      <x:c r="P176" s="38"/>
    </x:row>
    <x:row r="177" ht="45" customHeight="1">
      <x:c r="A177" s="60" t="n">
        <x:v>47</x:v>
      </x:c>
      <x:c r="B177" s="58" t="str">
        <x:v>硬币接龙</x:v>
      </x:c>
      <x:c r="C177" s="52" t="str">
        <x:v>购物与交换</x:v>
      </x:c>
      <x:c r="D177" s="52" t="str">
        <x:v>小</x:v>
      </x:c>
      <x:c r="E177" s="52" t="str">
        <x:v>备选</x:v>
      </x:c>
      <x:c r="F177" s="52" t="str">
        <x:v>收钱、找零、合并零钱</x:v>
      </x:c>
      <x:c r="G177" s="52" t="str">
        <x:v>拆成小币增加触发次数，合成大币可继承能力，但钱槽有限</x:v>
      </x:c>
      <x:c r="H177" s="52" t="str">
        <x:v>币种、面值、钱槽、找零条件</x:v>
      </x:c>
      <x:c r="I177" s="52" t="str">
        <x:v>五枚小币触发五次奖励，再铸成一枚带五层效果的大币</x:v>
      </x:c>
      <x:c r="J177" s="52" t="str">
        <x:v>熟悉消费、经营和资源取舍的玩家</x:v>
      </x:c>
      <x:c r="K177" s="52" t="str">
        <x:v>金额与能力要分开显示，避免误读</x:v>
      </x:c>
      <x:c r="L177" s="38"/>
      <x:c r="M177" s="38"/>
      <x:c r="N177" s="38"/>
      <x:c r="O177" s="38"/>
      <x:c r="P177" s="38"/>
    </x:row>
    <x:row r="178" ht="45" customHeight="1">
      <x:c r="A178" s="61" t="n">
        <x:v>48</x:v>
      </x:c>
      <x:c r="B178" s="59" t="str">
        <x:v>购物车漂移</x:v>
      </x:c>
      <x:c r="C178" s="53" t="str">
        <x:v>购物与交换</x:v>
      </x:c>
      <x:c r="D178" s="53" t="str">
        <x:v>中</x:v>
      </x:c>
      <x:c r="E178" s="53" t="str">
        <x:v>备选</x:v>
      </x:c>
      <x:c r="F178" s="53" t="str">
        <x:v>推车、拿货、避开货架</x:v>
      </x:c>
      <x:c r="G178" s="53" t="str">
        <x:v>购物车装载位置改变转弯和碰撞，货物还能作为一次性机关</x:v>
      </x:c>
      <x:c r="H178" s="53" t="str">
        <x:v>轮子、货物重心、车筐、冲刺道具</x:v>
      </x:c>
      <x:c r="I178" s="53" t="str">
        <x:v>侧装饮料当喷射器，漂移过弯时顺手吸满一排货</x:v>
      </x:c>
      <x:c r="J178" s="53" t="str">
        <x:v>熟悉消费、经营和资源取舍的玩家</x:v>
      </x:c>
      <x:c r="K178" s="53" t="str">
        <x:v>先做短场景，验证手感而非完整商场</x:v>
      </x:c>
      <x:c r="L178" s="38"/>
      <x:c r="M178" s="38"/>
      <x:c r="N178" s="38"/>
      <x:c r="O178" s="38"/>
      <x:c r="P178" s="38"/>
    </x:row>
    <x:row r="179" ht="45" customHeight="1">
      <x:c r="A179" s="60" t="n">
        <x:v>49</x:v>
      </x:c>
      <x:c r="B179" s="58" t="str">
        <x:v>街坊交换王</x:v>
      </x:c>
      <x:c r="C179" s="52" t="str">
        <x:v>购物与交换</x:v>
      </x:c>
      <x:c r="D179" s="52" t="str">
        <x:v>小</x:v>
      </x:c>
      <x:c r="E179" s="52" t="str">
        <x:v>备选</x:v>
      </x:c>
      <x:c r="F179" s="52" t="str">
        <x:v>借东西、修东西、以物易物</x:v>
      </x:c>
      <x:c r="G179" s="52" t="str">
        <x:v>职业服务可以改变物品标签，不同人的需求组成可变化的交换链</x:v>
      </x:c>
      <x:c r="H179" s="52" t="str">
        <x:v>人脉、职业服务、物品标签、信誉</x:v>
      </x:c>
      <x:c r="I179" s="52" t="str">
        <x:v>旧伞拆成布料做演出服，最后换来一整套露营装备</x:v>
      </x:c>
      <x:c r="J179" s="52" t="str">
        <x:v>熟悉消费、经营和资源取舍的玩家</x:v>
      </x:c>
      <x:c r="K179" s="52" t="str">
        <x:v>每局需求要变化，防止背固定兑换路线</x:v>
      </x:c>
      <x:c r="L179" s="38"/>
      <x:c r="M179" s="38"/>
      <x:c r="N179" s="38"/>
      <x:c r="O179" s="38"/>
      <x:c r="P179" s="38"/>
    </x:row>
    <x:row r="180" ht="45" customHeight="1">
      <x:c r="A180" s="61" t="n">
        <x:v>50</x:v>
      </x:c>
      <x:c r="B180" s="59" t="str">
        <x:v>一平方米夜市</x:v>
      </x:c>
      <x:c r="C180" s="53" t="str">
        <x:v>购物与交换</x:v>
      </x:c>
      <x:c r="D180" s="53" t="str">
        <x:v>小</x:v>
      </x:c>
      <x:c r="E180" s="53" t="str">
        <x:v>备选</x:v>
      </x:c>
      <x:c r="F180" s="53" t="str">
        <x:v>摆摊、抢位置、招呼客人</x:v>
      </x:c>
      <x:c r="G180" s="53" t="str">
        <x:v>每个摊位既卖货也影响邻摊，有限摊位可随客流重新拼合</x:v>
      </x:c>
      <x:c r="H180" s="53" t="str">
        <x:v>摊位形状、烟火气、客流、共用设施</x:v>
      </x:c>
      <x:c r="I180" s="53" t="str">
        <x:v>把饮品摊夹在烧烤和舞台间，一波散场客同时带旺整排</x:v>
      </x:c>
      <x:c r="J180" s="53" t="str">
        <x:v>熟悉消费、经营和资源取舍的玩家</x:v>
      </x:c>
      <x:c r="K180" s="53" t="str">
        <x:v>邻接逻辑需明显，避免只有静态排布</x:v>
      </x:c>
      <x:c r="L180" s="38"/>
      <x:c r="M180" s="38"/>
      <x:c r="N180" s="38"/>
      <x:c r="O180" s="38"/>
      <x:c r="P180" s="38"/>
    </x:row>
    <x:row r="181" ht="45" customHeight="1">
      <x:c r="A181" s="60" t="n">
        <x:v>51</x:v>
      </x:c>
      <x:c r="B181" s="58" t="str">
        <x:v>怪物保洁</x:v>
      </x:c>
      <x:c r="C181" s="52" t="str">
        <x:v>家务与改造</x:v>
      </x:c>
      <x:c r="D181" s="52" t="str">
        <x:v>中</x:v>
      </x:c>
      <x:c r="E181" s="52" t="str">
        <x:v>首轮候选</x:v>
      </x:c>
      <x:c r="F181" s="52" t="str">
        <x:v>吸尘、拖地、清洗污渍</x:v>
      </x:c>
      <x:c r="G181" s="52" t="str">
        <x:v>火、油、电等幻想污物可收集，再作为清洁或作战材料喷出</x:v>
      </x:c>
      <x:c r="H181" s="52" t="str">
        <x:v>吸头、水桶、材料顺序、扫地机</x:v>
      </x:c>
      <x:c r="I181" s="52" t="str">
        <x:v>先铺水再注入电污，让扫地机拖出移动清洁电网</x:v>
      </x:c>
      <x:c r="J181" s="52" t="str">
        <x:v>偏解压、收纳和工具组合的玩家</x:v>
      </x:c>
      <x:c r="K181" s="52" t="str">
        <x:v>容量和材料选择要重要，不能只是换颜色武器</x:v>
      </x:c>
      <x:c r="L181" s="38"/>
      <x:c r="M181" s="38"/>
      <x:c r="N181" s="38"/>
      <x:c r="O181" s="38"/>
      <x:c r="P181" s="38"/>
    </x:row>
    <x:row r="182" ht="45" customHeight="1">
      <x:c r="A182" s="61" t="n">
        <x:v>52</x:v>
      </x:c>
      <x:c r="B182" s="59" t="str">
        <x:v>红袜大作战</x:v>
      </x:c>
      <x:c r="C182" s="53" t="str">
        <x:v>家务与改造</x:v>
      </x:c>
      <x:c r="D182" s="53" t="str">
        <x:v>小</x:v>
      </x:c>
      <x:c r="E182" s="53" t="str">
        <x:v>首轮候选</x:v>
      </x:c>
      <x:c r="F182" s="53" t="str">
        <x:v>分色洗衣、担心串色和缩水</x:v>
      </x:c>
      <x:c r="G182" s="53" t="str">
        <x:v>串色能转移能力，缩水可减少占位，不同材质承受不同洗程</x:v>
      </x:c>
      <x:c r="H182" s="53" t="str">
        <x:v>颜色、衣料、洗剂、洗程</x:v>
      </x:c>
      <x:c r="I182" s="53" t="str">
        <x:v>一只红袜染出整桶火焰套装，甩干时全桶一起发动</x:v>
      </x:c>
      <x:c r="J182" s="53" t="str">
        <x:v>偏解压、收纳和工具组合的玩家</x:v>
      </x:c>
      <x:c r="K182" s="53" t="str">
        <x:v>全染同色不能成为始终最优的解法</x:v>
      </x:c>
      <x:c r="L182" s="38"/>
      <x:c r="M182" s="38"/>
      <x:c r="N182" s="38"/>
      <x:c r="O182" s="38"/>
      <x:c r="P182" s="38"/>
    </x:row>
    <x:row r="183" ht="45" customHeight="1">
      <x:c r="A183" s="60" t="n">
        <x:v>53</x:v>
      </x:c>
      <x:c r="B183" s="58" t="str">
        <x:v>箱子合不上</x:v>
      </x:c>
      <x:c r="C183" s="52" t="str">
        <x:v>家务与改造</x:v>
      </x:c>
      <x:c r="D183" s="52" t="str">
        <x:v>小</x:v>
      </x:c>
      <x:c r="E183" s="52" t="str">
        <x:v>备选</x:v>
      </x:c>
      <x:c r="F183" s="52" t="str">
        <x:v>塞行李、卷衣服、压箱盖</x:v>
      </x:c>
      <x:c r="G183" s="52" t="str">
        <x:v>关箱压力逐层触发压缩、弹簧与夹层，合上才统一验证布局</x:v>
      </x:c>
      <x:c r="H183" s="52" t="str">
        <x:v>物品材质、叠放、箱扣、夹层</x:v>
      </x:c>
      <x:c r="I183" s="52" t="str">
        <x:v>压扁衣服腾空间，再压弹簧打开夹层，所有东西连锁归位</x:v>
      </x:c>
      <x:c r="J183" s="52" t="str">
        <x:v>偏解压、收纳和工具组合的玩家</x:v>
      </x:c>
      <x:c r="K183" s="52" t="str">
        <x:v>压力规则先离散化，避免依赖复杂软体物理</x:v>
      </x:c>
      <x:c r="L183" s="38"/>
      <x:c r="M183" s="38"/>
      <x:c r="N183" s="38"/>
      <x:c r="O183" s="38"/>
      <x:c r="P183" s="38"/>
    </x:row>
    <x:row r="184" ht="45" customHeight="1">
      <x:c r="A184" s="61" t="n">
        <x:v>54</x:v>
      </x:c>
      <x:c r="B184" s="59" t="str">
        <x:v>衣柜套装术</x:v>
      </x:c>
      <x:c r="C184" s="53" t="str">
        <x:v>家务与改造</x:v>
      </x:c>
      <x:c r="D184" s="53" t="str">
        <x:v>小</x:v>
      </x:c>
      <x:c r="E184" s="53" t="str">
        <x:v>备选</x:v>
      </x:c>
      <x:c r="F184" s="53" t="str">
        <x:v>搭衣服、配鞋、组合穿搭</x:v>
      </x:c>
      <x:c r="G184" s="53" t="str">
        <x:v>衣物各部位有技能接口，搭配顺序改变角色的行动方式</x:v>
      </x:c>
      <x:c r="H184" s="53" t="str">
        <x:v>版型、材质、连接部位、套装冲突</x:v>
      </x:c>
      <x:c r="I184" s="53" t="str">
        <x:v>把回力鞋与弹簧袖接起来，一次落地带动全身连续弹跳</x:v>
      </x:c>
      <x:c r="J184" s="53" t="str">
        <x:v>偏解压、收纳和工具组合的玩家</x:v>
      </x:c>
      <x:c r="K184" s="53" t="str">
        <x:v>要让外观改变对应真实玩法变化</x:v>
      </x:c>
      <x:c r="L184" s="38"/>
      <x:c r="M184" s="38"/>
      <x:c r="N184" s="38"/>
      <x:c r="O184" s="38"/>
      <x:c r="P184" s="38"/>
    </x:row>
    <x:row r="185" ht="45" customHeight="1">
      <x:c r="A185" s="60" t="n">
        <x:v>55</x:v>
      </x:c>
      <x:c r="B185" s="58" t="str">
        <x:v>修补超能力</x:v>
      </x:c>
      <x:c r="C185" s="52" t="str">
        <x:v>家务与改造</x:v>
      </x:c>
      <x:c r="D185" s="52" t="str">
        <x:v>小</x:v>
      </x:c>
      <x:c r="E185" s="52" t="str">
        <x:v>备选</x:v>
      </x:c>
      <x:c r="F185" s="52" t="str">
        <x:v>缝洞、贴补丁、拆线</x:v>
      </x:c>
      <x:c r="G185" s="52" t="str">
        <x:v>破损处是能力插槽，针脚把补丁连成触发路径</x:v>
      </x:c>
      <x:c r="H185" s="52" t="str">
        <x:v>补丁材质、针脚、破洞形状、耐久</x:v>
      </x:c>
      <x:c r="I185" s="52" t="str">
        <x:v>鞋底一落地，能量沿针脚穿过全套衣服，再从手套释放</x:v>
      </x:c>
      <x:c r="J185" s="52" t="str">
        <x:v>偏解压、收纳和工具组合的玩家</x:v>
      </x:c>
      <x:c r="K185" s="52" t="str">
        <x:v>需要明确连接上限与断线后果</x:v>
      </x:c>
      <x:c r="L185" s="38"/>
      <x:c r="M185" s="38"/>
      <x:c r="N185" s="38"/>
      <x:c r="O185" s="38"/>
      <x:c r="P185" s="38"/>
    </x:row>
    <x:row r="186" ht="45" customHeight="1">
      <x:c r="A186" s="61" t="n">
        <x:v>56</x:v>
      </x:c>
      <x:c r="B186" s="59" t="str">
        <x:v>家电共生</x:v>
      </x:c>
      <x:c r="C186" s="53" t="str">
        <x:v>家务与改造</x:v>
      </x:c>
      <x:c r="D186" s="53" t="str">
        <x:v>小</x:v>
      </x:c>
      <x:c r="E186" s="53" t="str">
        <x:v>备选</x:v>
      </x:c>
      <x:c r="F186" s="53" t="str">
        <x:v>插电、使用家电、分配插座</x:v>
      </x:c>
      <x:c r="G186" s="53" t="str">
        <x:v>家电副产物可以成为另一台输入，热、冷、风、水串成资源链</x:v>
      </x:c>
      <x:c r="H186" s="53" t="str">
        <x:v>插排、线路、家电、转换器</x:v>
      </x:c>
      <x:c r="I186" s="53" t="str">
        <x:v>冰箱冷却电脑，电脑热水，蒸汽驱动风机继续供能</x:v>
      </x:c>
      <x:c r="J186" s="53" t="str">
        <x:v>偏解压、收纳和工具组合的玩家</x:v>
      </x:c>
      <x:c r="K186" s="53" t="str">
        <x:v>采用幻想化能量规则，限制循环效率</x:v>
      </x:c>
      <x:c r="L186" s="38"/>
      <x:c r="M186" s="38"/>
      <x:c r="N186" s="38"/>
      <x:c r="O186" s="38"/>
      <x:c r="P186" s="38"/>
    </x:row>
    <x:row r="187" ht="45" customHeight="1">
      <x:c r="A187" s="60" t="n">
        <x:v>57</x:v>
      </x:c>
      <x:c r="B187" s="58" t="str">
        <x:v>冰块清洁队</x:v>
      </x:c>
      <x:c r="C187" s="52" t="str">
        <x:v>家务与改造</x:v>
      </x:c>
      <x:c r="D187" s="52" t="str">
        <x:v>中</x:v>
      </x:c>
      <x:c r="E187" s="52" t="str">
        <x:v>备选</x:v>
      </x:c>
      <x:c r="F187" s="52" t="str">
        <x:v>冻结、敲碎、冲洗污物</x:v>
      </x:c>
      <x:c r="G187" s="52" t="str">
        <x:v>先把污物冻成可推的块，再利用裂纹决定碎裂路线</x:v>
      </x:c>
      <x:c r="H187" s="52" t="str">
        <x:v>冻块形状、裂纹、推力、喷头</x:v>
      </x:c>
      <x:c r="I187" s="52" t="str">
        <x:v>推一块冰穿过走廊，撞碎后同时刮净两侧墙面</x:v>
      </x:c>
      <x:c r="J187" s="52" t="str">
        <x:v>偏解压、收纳和工具组合的玩家</x:v>
      </x:c>
      <x:c r="K187" s="52" t="str">
        <x:v>冻结与清洗之间要有成本差异</x:v>
      </x:c>
      <x:c r="L187" s="38"/>
      <x:c r="M187" s="38"/>
      <x:c r="N187" s="38"/>
      <x:c r="O187" s="38"/>
      <x:c r="P187" s="38"/>
    </x:row>
    <x:row r="188" ht="45" customHeight="1">
      <x:c r="A188" s="61" t="n">
        <x:v>58</x:v>
      </x:c>
      <x:c r="B188" s="59" t="str">
        <x:v>搬门搬家</x:v>
      </x:c>
      <x:c r="C188" s="53" t="str">
        <x:v>家务与改造</x:v>
      </x:c>
      <x:c r="D188" s="53" t="str">
        <x:v>小</x:v>
      </x:c>
      <x:c r="E188" s="53" t="str">
        <x:v>备选</x:v>
      </x:c>
      <x:c r="F188" s="53" t="str">
        <x:v>搬家具、转弯、量门宽</x:v>
      </x:c>
      <x:c r="G188" s="53" t="str">
        <x:v>门可以拆下重新放，改变房间之间的连接</x:v>
      </x:c>
      <x:c r="H188" s="53" t="str">
        <x:v>房门、房间接口、家具机关、搬运顺序</x:v>
      </x:c>
      <x:c r="I188" s="53" t="str">
        <x:v>沙发卡住时，把厨房门搬到货车旁，一步把沙发送进去</x:v>
      </x:c>
      <x:c r="J188" s="53" t="str">
        <x:v>偏解压、收纳和工具组合的玩家</x:v>
      </x:c>
      <x:c r="K188" s="53" t="str">
        <x:v>先限定房间和门的合法连接</x:v>
      </x:c>
      <x:c r="L188" s="38"/>
      <x:c r="M188" s="38"/>
      <x:c r="N188" s="38"/>
      <x:c r="O188" s="38"/>
      <x:c r="P188" s="38"/>
    </x:row>
    <x:row r="189" ht="45" customHeight="1">
      <x:c r="A189" s="60" t="n">
        <x:v>59</x:v>
      </x:c>
      <x:c r="B189" s="58" t="str">
        <x:v>钥匙串迷宫</x:v>
      </x:c>
      <x:c r="C189" s="52" t="str">
        <x:v>家务与改造</x:v>
      </x:c>
      <x:c r="D189" s="52" t="str">
        <x:v>小</x:v>
      </x:c>
      <x:c r="E189" s="52" t="str">
        <x:v>备选</x:v>
      </x:c>
      <x:c r="F189" s="52" t="str">
        <x:v>试钥匙、开锁、串钥匙</x:v>
      </x:c>
      <x:c r="G189" s="52" t="str">
        <x:v>开锁会改变钥匙的齿形或附带效果，一串钥匙按次序联动</x:v>
      </x:c>
      <x:c r="H189" s="52" t="str">
        <x:v>钥匙齿形、钥匙环、锁芯、开门顺序</x:v>
      </x:c>
      <x:c r="I189" s="52" t="str">
        <x:v>先开小锁改出新齿形，转一次钥匙串连续打开三道门</x:v>
      </x:c>
      <x:c r="J189" s="52" t="str">
        <x:v>偏解压、收纳和工具组合的玩家</x:v>
      </x:c>
      <x:c r="K189" s="52" t="str">
        <x:v>配对信息需明确，避免试错堆时长</x:v>
      </x:c>
      <x:c r="L189" s="38"/>
      <x:c r="M189" s="38"/>
      <x:c r="N189" s="38"/>
      <x:c r="O189" s="38"/>
      <x:c r="P189" s="38"/>
    </x:row>
    <x:row r="190" ht="45" customHeight="1">
      <x:c r="A190" s="61" t="n">
        <x:v>60</x:v>
      </x:c>
      <x:c r="B190" s="59" t="str">
        <x:v>发型炼金术</x:v>
      </x:c>
      <x:c r="C190" s="53" t="str">
        <x:v>家务与改造</x:v>
      </x:c>
      <x:c r="D190" s="53" t="str">
        <x:v>中</x:v>
      </x:c>
      <x:c r="E190" s="53" t="str">
        <x:v>备选</x:v>
      </x:c>
      <x:c r="F190" s="53" t="str">
        <x:v>分区、梳头、剪发、染烫</x:v>
      </x:c>
      <x:c r="G190" s="53" t="str">
        <x:v>剪切效果沿发丝方向传播，卷发转弯、染色决定分叉</x:v>
      </x:c>
      <x:c r="H190" s="53" t="str">
        <x:v>剪刀、发束方向、染料、卷曲</x:v>
      </x:c>
      <x:c r="I190" s="53" t="str">
        <x:v>先烫出一条导轨，第一刀沿发束接力修出整顶发型</x:v>
      </x:c>
      <x:c r="J190" s="53" t="str">
        <x:v>偏解压、收纳和工具组合的玩家</x:v>
      </x:c>
      <x:c r="K190" s="53" t="str">
        <x:v>优先二维模板，避免模拟全部发丝</x:v>
      </x:c>
      <x:c r="L190" s="38"/>
      <x:c r="M190" s="38"/>
      <x:c r="N190" s="38"/>
      <x:c r="O190" s="38"/>
      <x:c r="P190" s="38"/>
    </x:row>
    <x:row r="191" ht="45" customHeight="1">
      <x:c r="A191" s="60" t="n">
        <x:v>61</x:v>
      </x:c>
      <x:c r="B191" s="58" t="str">
        <x:v>印章办公室</x:v>
      </x:c>
      <x:c r="C191" s="52" t="str">
        <x:v>职场与学校</x:v>
      </x:c>
      <x:c r="D191" s="52" t="str">
        <x:v>小</x:v>
      </x:c>
      <x:c r="E191" s="52" t="str">
        <x:v>首轮候选</x:v>
      </x:c>
      <x:c r="F191" s="52" t="str">
        <x:v>申请、盖章、转交、归档</x:v>
      </x:c>
      <x:c r="G191" s="52" t="str">
        <x:v>印章是复制、转化、延迟等指令，审批顺序成为可构筑流程</x:v>
      </x:c>
      <x:c r="H191" s="52" t="str">
        <x:v>印章、部门、文件路径、墨水次数</x:v>
      </x:c>
      <x:c r="I191" s="52" t="str">
        <x:v>一份申请分成八份盖章，再合并回原件一次结算</x:v>
      </x:c>
      <x:c r="J191" s="52" t="str">
        <x:v>熟悉工作、校园或数字工具的玩家</x:v>
      </x:c>
      <x:c r="K191" s="52" t="str">
        <x:v>限定文件数与触发次数，避免无限复制</x:v>
      </x:c>
      <x:c r="L191" s="38"/>
      <x:c r="M191" s="38"/>
      <x:c r="N191" s="38"/>
      <x:c r="O191" s="38"/>
      <x:c r="P191" s="38"/>
    </x:row>
    <x:row r="192" ht="45" customHeight="1">
      <x:c r="A192" s="61" t="n">
        <x:v>62</x:v>
      </x:c>
      <x:c r="B192" s="59" t="str">
        <x:v>会议打断王</x:v>
      </x:c>
      <x:c r="C192" s="53" t="str">
        <x:v>职场与学校</x:v>
      </x:c>
      <x:c r="D192" s="53" t="str">
        <x:v>小</x:v>
      </x:c>
      <x:c r="E192" s="53" t="str">
        <x:v>备选</x:v>
      </x:c>
      <x:c r="F192" s="53" t="str">
        <x:v>发言、补充、打断、争取预算</x:v>
      </x:c>
      <x:c r="G192" s="53" t="str">
        <x:v>可截取预设话术片段，再按场合组成自己的提案</x:v>
      </x:c>
      <x:c r="H192" s="53" t="str">
        <x:v>话术片段、座次、职位、议程</x:v>
      </x:c>
      <x:c r="I192" s="53" t="str">
        <x:v>接住三次原则性同意，拼成全员通过的完整提案</x:v>
      </x:c>
      <x:c r="J192" s="53" t="str">
        <x:v>熟悉工作、校园或数字工具的玩家</x:v>
      </x:c>
      <x:c r="K192" s="53" t="str">
        <x:v>采用有限语法，重点是策略而非大量写对白</x:v>
      </x:c>
      <x:c r="L192" s="38"/>
      <x:c r="M192" s="38"/>
      <x:c r="N192" s="38"/>
      <x:c r="O192" s="38"/>
      <x:c r="P192" s="38"/>
    </x:row>
    <x:row r="193" ht="45" customHeight="1">
      <x:c r="A193" s="60" t="n">
        <x:v>63</x:v>
      </x:c>
      <x:c r="B193" s="58" t="str">
        <x:v>桌面窗口地牢</x:v>
      </x:c>
      <x:c r="C193" s="52" t="str">
        <x:v>职场与学校</x:v>
      </x:c>
      <x:c r="D193" s="52" t="str">
        <x:v>中</x:v>
      </x:c>
      <x:c r="E193" s="52" t="str">
        <x:v>备选</x:v>
      </x:c>
      <x:c r="F193" s="52" t="str">
        <x:v>拖动、缩放、最小化窗口</x:v>
      </x:c>
      <x:c r="G193" s="52" t="str">
        <x:v>窗口边框是真实墙体，叠放和缩放会改变房间与敌人的路径</x:v>
      </x:c>
      <x:c r="H193" s="52" t="str">
        <x:v>窗口形状、层级、快捷键、工具栏</x:v>
      </x:c>
      <x:c r="I193" s="52" t="str">
        <x:v>把两个窗口叠出窄道，再缩小边框把怪物挤进机关</x:v>
      </x:c>
      <x:c r="J193" s="52" t="str">
        <x:v>熟悉工作、校园或数字工具的玩家</x:v>
      </x:c>
      <x:c r="K193" s="52" t="str">
        <x:v>桌面操作应发生在游戏内，避免与系统交互混淆</x:v>
      </x:c>
      <x:c r="L193" s="38"/>
      <x:c r="M193" s="38"/>
      <x:c r="N193" s="38"/>
      <x:c r="O193" s="38"/>
      <x:c r="P193" s="38"/>
    </x:row>
    <x:row r="194" ht="45" customHeight="1">
      <x:c r="A194" s="61" t="n">
        <x:v>64</x:v>
      </x:c>
      <x:c r="B194" s="59" t="str">
        <x:v>剪贴板复制术</x:v>
      </x:c>
      <x:c r="C194" s="53" t="str">
        <x:v>职场与学校</x:v>
      </x:c>
      <x:c r="D194" s="53" t="str">
        <x:v>小</x:v>
      </x:c>
      <x:c r="E194" s="53" t="str">
        <x:v>备选</x:v>
      </x:c>
      <x:c r="F194" s="53" t="str">
        <x:v>复制、剪切、粘贴、撤销</x:v>
      </x:c>
      <x:c r="G194" s="53" t="str">
        <x:v>只能保存少量对象的特定属性，粘贴会消耗原材料</x:v>
      </x:c>
      <x:c r="H194" s="53" t="str">
        <x:v>剪贴槽、属性类型、粘贴次数、撤销资源</x:v>
      </x:c>
      <x:c r="I194" s="53" t="str">
        <x:v>复制弹簧的弹性贴给地板，一次弹起全屋家具</x:v>
      </x:c>
      <x:c r="J194" s="53" t="str">
        <x:v>熟悉工作、校园或数字工具的玩家</x:v>
      </x:c>
      <x:c r="K194" s="53" t="str">
        <x:v>属性复制需守住可读边界</x:v>
      </x:c>
      <x:c r="L194" s="38"/>
      <x:c r="M194" s="38"/>
      <x:c r="N194" s="38"/>
      <x:c r="O194" s="38"/>
      <x:c r="P194" s="38"/>
    </x:row>
    <x:row r="195" ht="45" customHeight="1">
      <x:c r="A195" s="60" t="n">
        <x:v>65</x:v>
      </x:c>
      <x:c r="B195" s="58" t="str">
        <x:v>表格函数工坊</x:v>
      </x:c>
      <x:c r="C195" s="52" t="str">
        <x:v>职场与学校</x:v>
      </x:c>
      <x:c r="D195" s="52" t="str">
        <x:v>小</x:v>
      </x:c>
      <x:c r="E195" s="52" t="str">
        <x:v>备选</x:v>
      </x:c>
      <x:c r="F195" s="52" t="str">
        <x:v>填格子、求和、引用相邻格</x:v>
      </x:c>
      <x:c r="G195" s="52" t="str">
        <x:v>单元格是工位，公式把原料加工成产品，错误值也可被回收</x:v>
      </x:c>
      <x:c r="H195" s="52" t="str">
        <x:v>简单函数、引用范围、工位、资源</x:v>
      </x:c>
      <x:c r="I195" s="52" t="str">
        <x:v>拖动一格公式，整张表开始运转，把废料自动汇成成品</x:v>
      </x:c>
      <x:c r="J195" s="52" t="str">
        <x:v>熟悉工作、校园或数字工具的玩家</x:v>
      </x:c>
      <x:c r="K195" s="52" t="str">
        <x:v>面向偏逻辑用户，不能默认大众熟悉公式</x:v>
      </x:c>
      <x:c r="L195" s="38"/>
      <x:c r="M195" s="38"/>
      <x:c r="N195" s="38"/>
      <x:c r="O195" s="38"/>
      <x:c r="P195" s="38"/>
    </x:row>
    <x:row r="196" ht="45" customHeight="1">
      <x:c r="A196" s="61" t="n">
        <x:v>66</x:v>
      </x:c>
      <x:c r="B196" s="59" t="str">
        <x:v>二十四小时折叠</x:v>
      </x:c>
      <x:c r="C196" s="53" t="str">
        <x:v>职场与学校</x:v>
      </x:c>
      <x:c r="D196" s="53" t="str">
        <x:v>小</x:v>
      </x:c>
      <x:c r="E196" s="53" t="str">
        <x:v>备选</x:v>
      </x:c>
      <x:c r="F196" s="53" t="str">
        <x:v>排日程、赶路、集中办事</x:v>
      </x:c>
      <x:c r="G196" s="53" t="str">
        <x:v>相邻任务可共享准备时间，空档能接住突发事件</x:v>
      </x:c>
      <x:c r="H196" s="53" t="str">
        <x:v>日程块、地点、习惯、缓冲区</x:v>
      </x:c>
      <x:c r="I196" s="53" t="str">
        <x:v>把三次跑同一地点折成一次，省出的时间再完成隐藏任务</x:v>
      </x:c>
      <x:c r="J196" s="53" t="str">
        <x:v>熟悉工作、校园或数字工具的玩家</x:v>
      </x:c>
      <x:c r="K196" s="53" t="str">
        <x:v>节省时间的反馈要比日历操作更有表现力</x:v>
      </x:c>
      <x:c r="L196" s="38"/>
      <x:c r="M196" s="38"/>
      <x:c r="N196" s="38"/>
      <x:c r="O196" s="38"/>
      <x:c r="P196" s="38"/>
    </x:row>
    <x:row r="197" ht="45" customHeight="1">
      <x:c r="A197" s="60" t="n">
        <x:v>67</x:v>
      </x:c>
      <x:c r="B197" s="58" t="str">
        <x:v>课程表构筑</x:v>
      </x:c>
      <x:c r="C197" s="52" t="str">
        <x:v>职场与学校</x:v>
      </x:c>
      <x:c r="D197" s="52" t="str">
        <x:v>小</x:v>
      </x:c>
      <x:c r="E197" s="52" t="str">
        <x:v>备选</x:v>
      </x:c>
      <x:c r="F197" s="52" t="str">
        <x:v>排课、选课、安排休息</x:v>
      </x:c>
      <x:c r="G197" s="52" t="str">
        <x:v>学科效果由前后课程决定，休息和复习改变学习成果的保留方式</x:v>
      </x:c>
      <x:c r="H197" s="52" t="str">
        <x:v>课程、课序、社团、休息格</x:v>
      </x:c>
      <x:c r="I197" s="52" t="str">
        <x:v>体育课激活音乐节奏，再让数学课把节奏变成连续行动</x:v>
      </x:c>
      <x:c r="J197" s="52" t="str">
        <x:v>熟悉工作、校园或数字工具的玩家</x:v>
      </x:c>
      <x:c r="K197" s="52" t="str">
        <x:v>规则应幻想化且简洁，避免伪装教育结论</x:v>
      </x:c>
      <x:c r="L197" s="38"/>
      <x:c r="M197" s="38"/>
      <x:c r="N197" s="38"/>
      <x:c r="O197" s="38"/>
      <x:c r="P197" s="38"/>
    </x:row>
    <x:row r="198" ht="45" customHeight="1">
      <x:c r="A198" s="61" t="n">
        <x:v>68</x:v>
      </x:c>
      <x:c r="B198" s="59" t="str">
        <x:v>草稿纸远征</x:v>
      </x:c>
      <x:c r="C198" s="53" t="str">
        <x:v>职场与学校</x:v>
      </x:c>
      <x:c r="D198" s="53" t="str">
        <x:v>小</x:v>
      </x:c>
      <x:c r="E198" s="53" t="str">
        <x:v>备选</x:v>
      </x:c>
      <x:c r="F198" s="53" t="str">
        <x:v>画草稿、连线、涂改</x:v>
      </x:c>
      <x:c r="G198" s="53" t="str">
        <x:v>草稿线条会成为角色脚下的路，验算结果改变机关</x:v>
      </x:c>
      <x:c r="H198" s="53" t="str">
        <x:v>符号、线条、橡皮、草稿空间</x:v>
      </x:c>
      <x:c r="I198" s="53" t="str">
        <x:v>把一道旧辅助线折成桥，角色直接跨过原本无路的区域</x:v>
      </x:c>
      <x:c r="J198" s="53" t="str">
        <x:v>熟悉工作、校园或数字工具的玩家</x:v>
      </x:c>
      <x:c r="K198" s="53" t="str">
        <x:v>有限符号足够，别要求复杂数学知识</x:v>
      </x:c>
      <x:c r="L198" s="38"/>
      <x:c r="M198" s="38"/>
      <x:c r="N198" s="38"/>
      <x:c r="O198" s="38"/>
      <x:c r="P198" s="38"/>
    </x:row>
    <x:row r="199" ht="45" customHeight="1">
      <x:c r="A199" s="60" t="n">
        <x:v>69</x:v>
      </x:c>
      <x:c r="B199" s="58" t="str">
        <x:v>橡皮擦改世界</x:v>
      </x:c>
      <x:c r="C199" s="52" t="str">
        <x:v>职场与学校</x:v>
      </x:c>
      <x:c r="D199" s="52" t="str">
        <x:v>小</x:v>
      </x:c>
      <x:c r="E199" s="52" t="str">
        <x:v>备选</x:v>
      </x:c>
      <x:c r="F199" s="52" t="str">
        <x:v>擦掉铅笔字、擦一部分保留另一部分</x:v>
      </x:c>
      <x:c r="G199" s="52" t="str">
        <x:v>擦除某个属性能改变对象用途，但橡皮屑占空间并可再利用</x:v>
      </x:c>
      <x:c r="H199" s="52" t="str">
        <x:v>擦除形状、属性层、橡皮屑、剩余笔画</x:v>
      </x:c>
      <x:c r="I199" s="52" t="str">
        <x:v>擦掉重物的重量标记让它漂起，再把橡皮屑压成平台</x:v>
      </x:c>
      <x:c r="J199" s="52" t="str">
        <x:v>熟悉工作、校园或数字工具的玩家</x:v>
      </x:c>
      <x:c r="K199" s="52" t="str">
        <x:v>属性标签与具体改变必须一致</x:v>
      </x:c>
      <x:c r="L199" s="38"/>
      <x:c r="M199" s="38"/>
      <x:c r="N199" s="38"/>
      <x:c r="O199" s="38"/>
      <x:c r="P199" s="38"/>
    </x:row>
    <x:row r="200" ht="45" customHeight="1">
      <x:c r="A200" s="61" t="n">
        <x:v>70</x:v>
      </x:c>
      <x:c r="B200" s="59" t="str">
        <x:v>工位风水局</x:v>
      </x:c>
      <x:c r="C200" s="53" t="str">
        <x:v>职场与学校</x:v>
      </x:c>
      <x:c r="D200" s="53" t="str">
        <x:v>小</x:v>
      </x:c>
      <x:c r="E200" s="53" t="str">
        <x:v>备选</x:v>
      </x:c>
      <x:c r="F200" s="53" t="str">
        <x:v>摆电脑、挪座位、避噪音</x:v>
      </x:c>
      <x:c r="G200" s="53" t="str">
        <x:v>视线、噪音、咖啡和资料会沿工位布局传播，重排改变协作</x:v>
      </x:c>
      <x:c r="H200" s="53" t="str">
        <x:v>工位、设备、人员特长、信号路径</x:v>
      </x:c>
      <x:c r="I200" s="53" t="str">
        <x:v>挪一台咖啡机，让整排同事的任务依次接力完成</x:v>
      </x:c>
      <x:c r="J200" s="53" t="str">
        <x:v>熟悉工作、校园或数字工具的玩家</x:v>
      </x:c>
      <x:c r="K200" s="53" t="str">
        <x:v>不能只靠职场梗，协作链需要实际取舍</x:v>
      </x:c>
      <x:c r="L200" s="38"/>
      <x:c r="M200" s="38"/>
      <x:c r="N200" s="38"/>
      <x:c r="O200" s="38"/>
      <x:c r="P200" s="38"/>
    </x:row>
    <x:row r="201" ht="45" customHeight="1">
      <x:c r="A201" s="60" t="n">
        <x:v>71</x:v>
      </x:c>
      <x:c r="B201" s="58" t="str">
        <x:v>电梯重排</x:v>
      </x:c>
      <x:c r="C201" s="52" t="str">
        <x:v>城市与职业</x:v>
      </x:c>
      <x:c r="D201" s="52" t="str">
        <x:v>小</x:v>
      </x:c>
      <x:c r="E201" s="52" t="str">
        <x:v>首轮候选</x:v>
      </x:c>
      <x:c r="F201" s="52" t="str">
        <x:v>接人、送人、控制载重</x:v>
      </x:c>
      <x:c r="G201" s="52" t="str">
        <x:v>完成送达可调整有限楼层卡，逐步构筑更高效的楼层关系</x:v>
      </x:c>
      <x:c r="H201" s="52" t="str">
        <x:v>楼层、乘客、轿厢分区、停靠顺序</x:v>
      </x:c>
      <x:c r="I201" s="52" t="str">
        <x:v>把食堂与办公室接成邻层，一次停靠完成六人的连程</x:v>
      </x:c>
      <x:c r="J201" s="52" t="str">
        <x:v>熟悉交通、物流和公共设施的玩家</x:v>
      </x:c>
      <x:c r="K201" s="52" t="str">
        <x:v>乘客需求需预告，禁止无限搬楼层无代价</x:v>
      </x:c>
      <x:c r="L201" s="38"/>
      <x:c r="M201" s="38"/>
      <x:c r="N201" s="38"/>
      <x:c r="O201" s="38"/>
      <x:c r="P201" s="38"/>
    </x:row>
    <x:row r="202" ht="45" customHeight="1">
      <x:c r="A202" s="61" t="n">
        <x:v>72</x:v>
      </x:c>
      <x:c r="B202" s="59" t="str">
        <x:v>公交座位大师</x:v>
      </x:c>
      <x:c r="C202" s="53" t="str">
        <x:v>城市与职业</x:v>
      </x:c>
      <x:c r="D202" s="53" t="str">
        <x:v>小</x:v>
      </x:c>
      <x:c r="E202" s="53" t="str">
        <x:v>备选</x:v>
      </x:c>
      <x:c r="F202" s="53" t="str">
        <x:v>乘车、找座、上下车</x:v>
      </x:c>
      <x:c r="G202" s="53" t="str">
        <x:v>乘客邻座能力会影响整车，换座还能改变下车速度和收入</x:v>
      </x:c>
      <x:c r="H202" s="53" t="str">
        <x:v>座位、乘客组合、车门、站点</x:v>
      </x:c>
      <x:c r="I202" s="53" t="str">
        <x:v>把带行李客移到宽门边，一站同时顺畅送走半车人</x:v>
      </x:c>
      <x:c r="J202" s="53" t="str">
        <x:v>熟悉交通、物流和公共设施的玩家</x:v>
      </x:c>
      <x:c r="K202" s="53" t="str">
        <x:v>用明确角色需求，避免价值判断式人物标签</x:v>
      </x:c>
      <x:c r="L202" s="38"/>
      <x:c r="M202" s="38"/>
      <x:c r="N202" s="38"/>
      <x:c r="O202" s="38"/>
      <x:c r="P202" s="38"/>
    </x:row>
    <x:row r="203" ht="45" customHeight="1">
      <x:c r="A203" s="60" t="n">
        <x:v>73</x:v>
      </x:c>
      <x:c r="B203" s="58" t="str">
        <x:v>红绿灯连锁</x:v>
      </x:c>
      <x:c r="C203" s="52" t="str">
        <x:v>城市与职业</x:v>
      </x:c>
      <x:c r="D203" s="52" t="str">
        <x:v>小</x:v>
      </x:c>
      <x:c r="E203" s="52" t="str">
        <x:v>备选</x:v>
      </x:c>
      <x:c r="F203" s="52" t="str">
        <x:v>看信号灯、排车、通过路口</x:v>
      </x:c>
      <x:c r="G203" s="52" t="str">
        <x:v>不同车辆经过路口会给灯充能，灯相位可接成协同网络</x:v>
      </x:c>
      <x:c r="H203" s="52" t="str">
        <x:v>相位、车种、路口模块、等待区</x:v>
      </x:c>
      <x:c r="I203" s="52" t="str">
        <x:v>一次绿灯放行车队，沿途点亮整条街的下一波绿灯</x:v>
      </x:c>
      <x:c r="J203" s="52" t="str">
        <x:v>熟悉交通、物流和公共设施的玩家</x:v>
      </x:c>
      <x:c r="K203" s="52" t="str">
        <x:v>要有拥堵与能耗约束，不能永远全绿</x:v>
      </x:c>
      <x:c r="L203" s="38"/>
      <x:c r="M203" s="38"/>
      <x:c r="N203" s="38"/>
      <x:c r="O203" s="38"/>
      <x:c r="P203" s="38"/>
    </x:row>
    <x:row r="204" ht="45" customHeight="1">
      <x:c r="A204" s="61" t="n">
        <x:v>74</x:v>
      </x:c>
      <x:c r="B204" s="59" t="str">
        <x:v>快递分拣迷宫</x:v>
      </x:c>
      <x:c r="C204" s="53" t="str">
        <x:v>城市与职业</x:v>
      </x:c>
      <x:c r="D204" s="53" t="str">
        <x:v>小</x:v>
      </x:c>
      <x:c r="E204" s="53" t="str">
        <x:v>备选</x:v>
      </x:c>
      <x:c r="F204" s="53" t="str">
        <x:v>看标签、传送、分拣到出口</x:v>
      </x:c>
      <x:c r="G204" s="53" t="str">
        <x:v>包裹经过站点可以改变尺寸和标签，路线同时是加工顺序</x:v>
      </x:c>
      <x:c r="H204" s="53" t="str">
        <x:v>传送带、分拣器、包装机、标签</x:v>
      </x:c>
      <x:c r="I204" s="53" t="str">
        <x:v>同一包裹一圈完成拆分、装配、打包，刚好落入正确出口</x:v>
      </x:c>
      <x:c r="J204" s="53" t="str">
        <x:v>熟悉交通、物流和公共设施的玩家</x:v>
      </x:c>
      <x:c r="K204" s="53" t="str">
        <x:v>与寿司传送带需用信息分拣和拥堵形成区别</x:v>
      </x:c>
      <x:c r="L204" s="38"/>
      <x:c r="M204" s="38"/>
      <x:c r="N204" s="38"/>
      <x:c r="O204" s="38"/>
      <x:c r="P204" s="38"/>
    </x:row>
    <x:row r="205" ht="45" customHeight="1">
      <x:c r="A205" s="60" t="n">
        <x:v>75</x:v>
      </x:c>
      <x:c r="B205" s="58" t="str">
        <x:v>停车位挪移术</x:v>
      </x:c>
      <x:c r="C205" s="52" t="str">
        <x:v>城市与职业</x:v>
      </x:c>
      <x:c r="D205" s="52" t="str">
        <x:v>小</x:v>
      </x:c>
      <x:c r="E205" s="52" t="str">
        <x:v>备选</x:v>
      </x:c>
      <x:c r="F205" s="52" t="str">
        <x:v>倒车、挪车、找空位</x:v>
      </x:c>
      <x:c r="G205" s="52" t="str">
        <x:v>车位可以拼接或短时转向，停车后车辆能提供场地能力</x:v>
      </x:c>
      <x:c r="H205" s="52" t="str">
        <x:v>车位形状、车辆、充电位、转盘</x:v>
      </x:c>
      <x:c r="I205" s="52" t="str">
        <x:v>先停一辆车给转盘供能，整个停车区旋转腾出出口</x:v>
      </x:c>
      <x:c r="J205" s="52" t="str">
        <x:v>熟悉交通、物流和公共设施的玩家</x:v>
      </x:c>
      <x:c r="K205" s="52" t="str">
        <x:v>必须保留空间规划，避免点击解锁式流程</x:v>
      </x:c>
      <x:c r="L205" s="38"/>
      <x:c r="M205" s="38"/>
      <x:c r="N205" s="38"/>
      <x:c r="O205" s="38"/>
      <x:c r="P205" s="38"/>
    </x:row>
    <x:row r="206" ht="45" customHeight="1">
      <x:c r="A206" s="61" t="n">
        <x:v>76</x:v>
      </x:c>
      <x:c r="B206" s="59" t="str">
        <x:v>消防炼金队</x:v>
      </x:c>
      <x:c r="C206" s="53" t="str">
        <x:v>城市与职业</x:v>
      </x:c>
      <x:c r="D206" s="53" t="str">
        <x:v>小</x:v>
      </x:c>
      <x:c r="E206" s="53" t="str">
        <x:v>备选</x:v>
      </x:c>
      <x:c r="F206" s="53" t="str">
        <x:v>接水管、开阀门、灭火</x:v>
      </x:c>
      <x:c r="G206" s="53" t="str">
        <x:v>火转成蒸汽、蒸汽推泵，救援过程重组能量与水路</x:v>
      </x:c>
      <x:c r="H206" s="53" t="str">
        <x:v>管道、阀门、喷头、泵</x:v>
      </x:c>
      <x:c r="I206" s="53" t="str">
        <x:v>先灭厨房火，用蒸汽启动泵，再把水送到整栋楼</x:v>
      </x:c>
      <x:c r="J206" s="53" t="str">
        <x:v>熟悉交通、物流和公共设施的玩家</x:v>
      </x:c>
      <x:c r="K206" s="53" t="str">
        <x:v>采用有限节点，救援目标与资源目标同时存在</x:v>
      </x:c>
      <x:c r="L206" s="38"/>
      <x:c r="M206" s="38"/>
      <x:c r="N206" s="38"/>
      <x:c r="O206" s="38"/>
      <x:c r="P206" s="38"/>
    </x:row>
    <x:row r="207" ht="45" customHeight="1">
      <x:c r="A207" s="60" t="n">
        <x:v>77</x:v>
      </x:c>
      <x:c r="B207" s="58" t="str">
        <x:v>垃圾回收进化</x:v>
      </x:c>
      <x:c r="C207" s="52" t="str">
        <x:v>城市与职业</x:v>
      </x:c>
      <x:c r="D207" s="52" t="str">
        <x:v>小</x:v>
      </x:c>
      <x:c r="E207" s="52" t="str">
        <x:v>备选</x:v>
      </x:c>
      <x:c r="F207" s="52" t="str">
        <x:v>分类、压缩、拆解垃圾</x:v>
      </x:c>
      <x:c r="G207" s="52" t="str">
        <x:v>废料的形状和材质决定新工具，污染标签需要处理或利用</x:v>
      </x:c>
      <x:c r="H207" s="52" t="str">
        <x:v>分类箱、压缩模具、材质、工具接口</x:v>
      </x:c>
      <x:c r="I207" s="52" t="str">
        <x:v>一车废纸压成桥，废金属接成轨，回收车一路自己铺路</x:v>
      </x:c>
      <x:c r="J207" s="52" t="str">
        <x:v>熟悉交通、物流和公共设施的玩家</x:v>
      </x:c>
      <x:c r="K207" s="52" t="str">
        <x:v>产出规则要能被玩家推断</x:v>
      </x:c>
      <x:c r="L207" s="38"/>
      <x:c r="M207" s="38"/>
      <x:c r="N207" s="38"/>
      <x:c r="O207" s="38"/>
      <x:c r="P207" s="38"/>
    </x:row>
    <x:row r="208" ht="45" customHeight="1">
      <x:c r="A208" s="61" t="n">
        <x:v>78</x:v>
      </x:c>
      <x:c r="B208" s="59" t="str">
        <x:v>邮票环游记</x:v>
      </x:c>
      <x:c r="C208" s="53" t="str">
        <x:v>城市与职业</x:v>
      </x:c>
      <x:c r="D208" s="53" t="str">
        <x:v>小</x:v>
      </x:c>
      <x:c r="E208" s="53" t="str">
        <x:v>备选</x:v>
      </x:c>
      <x:c r="F208" s="53" t="str">
        <x:v>贴邮票、寄信、收集邮戳</x:v>
      </x:c>
      <x:c r="G208" s="53" t="str">
        <x:v>每经过一站获得邮戳能力，贴票位置决定下一站与加工</x:v>
      </x:c>
      <x:c r="H208" s="53" t="str">
        <x:v>邮票、邮戳、路线、信封空间</x:v>
      </x:c>
      <x:c r="I208" s="53" t="str">
        <x:v>一封信绕行三站获得三种能力，回来变成开启新航线的通行证</x:v>
      </x:c>
      <x:c r="J208" s="53" t="str">
        <x:v>熟悉交通、物流和公共设施的玩家</x:v>
      </x:c>
      <x:c r="K208" s="53" t="str">
        <x:v>路线选择需有成本，不能只比收集数量</x:v>
      </x:c>
      <x:c r="L208" s="38"/>
      <x:c r="M208" s="38"/>
      <x:c r="N208" s="38"/>
      <x:c r="O208" s="38"/>
      <x:c r="P208" s="38"/>
    </x:row>
    <x:row r="209" ht="45" customHeight="1">
      <x:c r="A209" s="60" t="n">
        <x:v>79</x:v>
      </x:c>
      <x:c r="B209" s="58" t="str">
        <x:v>行李转盘奇旅</x:v>
      </x:c>
      <x:c r="C209" s="52" t="str">
        <x:v>城市与职业</x:v>
      </x:c>
      <x:c r="D209" s="52" t="str">
        <x:v>小</x:v>
      </x:c>
      <x:c r="E209" s="52" t="str">
        <x:v>备选</x:v>
      </x:c>
      <x:c r="F209" s="52" t="str">
        <x:v>认行李、等转盘、取箱子</x:v>
      </x:c>
      <x:c r="G209" s="52" t="str">
        <x:v>行李在转盘上互相交换挂件，取走时机决定最终组合</x:v>
      </x:c>
      <x:c r="H209" s="52" t="str">
        <x:v>箱体、挂件、转盘站点、取件窗口</x:v>
      </x:c>
      <x:c r="I209" s="52" t="str">
        <x:v>一个箱子转两圈换齐探险装备，在最后一刻被准确取走</x:v>
      </x:c>
      <x:c r="J209" s="52" t="str">
        <x:v>熟悉交通、物流和公共设施的玩家</x:v>
      </x:c>
      <x:c r="K209" s="52" t="str">
        <x:v>要明显区分等待与主动规划</x:v>
      </x:c>
      <x:c r="L209" s="38"/>
      <x:c r="M209" s="38"/>
      <x:c r="N209" s="38"/>
      <x:c r="O209" s="38"/>
      <x:c r="P209" s="38"/>
    </x:row>
    <x:row r="210" ht="45" customHeight="1">
      <x:c r="A210" s="61" t="n">
        <x:v>80</x:v>
      </x:c>
      <x:c r="B210" s="59" t="str">
        <x:v>地铁换乘构筑</x:v>
      </x:c>
      <x:c r="C210" s="53" t="str">
        <x:v>城市与职业</x:v>
      </x:c>
      <x:c r="D210" s="53" t="str">
        <x:v>小</x:v>
      </x:c>
      <x:c r="E210" s="53" t="str">
        <x:v>备选</x:v>
      </x:c>
      <x:c r="F210" s="53" t="str">
        <x:v>进站、换线、到目的地</x:v>
      </x:c>
      <x:c r="G210" s="53" t="str">
        <x:v>不同线路改变乘客状态，换乘组合决定任务完成方式</x:v>
      </x:c>
      <x:c r="H210" s="53" t="str">
        <x:v>线路、车站、换乘奖励、乘客目标</x:v>
      </x:c>
      <x:c r="I210" s="53" t="str">
        <x:v>一名乘客沿三条线完成采购、休息和观光，一次抵达交付多目标</x:v>
      </x:c>
      <x:c r="J210" s="53" t="str">
        <x:v>熟悉交通、物流和公共设施的玩家</x:v>
      </x:c>
      <x:c r="K210" s="53" t="str">
        <x:v>信息密度高，需限定线路数量</x:v>
      </x:c>
      <x:c r="L210" s="38"/>
      <x:c r="M210" s="38"/>
      <x:c r="N210" s="38"/>
      <x:c r="O210" s="38"/>
      <x:c r="P210" s="38"/>
    </x:row>
    <x:row r="211" ht="45" customHeight="1">
      <x:c r="A211" s="60" t="n">
        <x:v>81</x:v>
      </x:c>
      <x:c r="B211" s="58" t="str">
        <x:v>排队连锁店</x:v>
      </x:c>
      <x:c r="C211" s="52" t="str">
        <x:v>人际与仪式</x:v>
      </x:c>
      <x:c r="D211" s="52" t="str">
        <x:v>小</x:v>
      </x:c>
      <x:c r="E211" s="52" t="str">
        <x:v>首轮候选</x:v>
      </x:c>
      <x:c r="F211" s="52" t="str">
        <x:v>取号、排队、轮到自己</x:v>
      </x:c>
      <x:c r="G211" s="52" t="str">
        <x:v>入队、换位、离队各自触发角色能力，队伍顺序成为构筑</x:v>
      </x:c>
      <x:c r="H211" s="52" t="str">
        <x:v>顾客、队列、插队券、耐心、服务窗口</x:v>
      </x:c>
      <x:c r="I211" s="52" t="str">
        <x:v>一位顾客离队触发后面三人准备完成，一次清掉整段队伍</x:v>
      </x:c>
      <x:c r="J211" s="52" t="str">
        <x:v>熟悉日常社交与群体活动的玩家</x:v>
      </x:c>
      <x:c r="K211" s="52" t="str">
        <x:v>不能把等待本身当内容，需有有限步数和可预测需求</x:v>
      </x:c>
      <x:c r="L211" s="38"/>
      <x:c r="M211" s="38"/>
      <x:c r="N211" s="38"/>
      <x:c r="O211" s="38"/>
      <x:c r="P211" s="38"/>
    </x:row>
    <x:row r="212" ht="45" customHeight="1">
      <x:c r="A212" s="61" t="n">
        <x:v>82</x:v>
      </x:c>
      <x:c r="B212" s="59" t="str">
        <x:v>饭局排座大师</x:v>
      </x:c>
      <x:c r="C212" s="53" t="str">
        <x:v>人际与仪式</x:v>
      </x:c>
      <x:c r="D212" s="53" t="str">
        <x:v>小</x:v>
      </x:c>
      <x:c r="E212" s="53" t="str">
        <x:v>备选</x:v>
      </x:c>
      <x:c r="F212" s="53" t="str">
        <x:v>排座、上菜、聊天、接话</x:v>
      </x:c>
      <x:c r="G212" s="53" t="str">
        <x:v>话题沿邻座与共同兴趣传播，菜品可打断或改变传播方向</x:v>
      </x:c>
      <x:c r="H212" s="53" t="str">
        <x:v>宾客、座位、菜序、话题卡</x:v>
      </x:c>
      <x:c r="I212" s="53" t="str">
        <x:v>一盘鱼上桌，把三桌不同的人串成热闹的钓鱼讨论</x:v>
      </x:c>
      <x:c r="J212" s="53" t="str">
        <x:v>熟悉日常社交与群体活动的玩家</x:v>
      </x:c>
      <x:c r="K212" s="53" t="str">
        <x:v>规则靠明确兴趣与关系，避免暗藏社会经验考试</x:v>
      </x:c>
      <x:c r="L212" s="38"/>
      <x:c r="M212" s="38"/>
      <x:c r="N212" s="38"/>
      <x:c r="O212" s="38"/>
      <x:c r="P212" s="38"/>
    </x:row>
    <x:row r="213" ht="45" customHeight="1">
      <x:c r="A213" s="60" t="n">
        <x:v>83</x:v>
      </x:c>
      <x:c r="B213" s="58" t="str">
        <x:v>拜年红包阵</x:v>
      </x:c>
      <x:c r="C213" s="52" t="str">
        <x:v>人际与仪式</x:v>
      </x:c>
      <x:c r="D213" s="52" t="str">
        <x:v>小</x:v>
      </x:c>
      <x:c r="E213" s="52" t="str">
        <x:v>备选</x:v>
      </x:c>
      <x:c r="F213" s="52" t="str">
        <x:v>拜年、认亲戚、发红包</x:v>
      </x:c>
      <x:c r="G213" s="52" t="str">
        <x:v>每个角色有不同回应条件，祝福、饰品与座次可接力触发</x:v>
      </x:c>
      <x:c r="H213" s="52" t="str">
        <x:v>亲属关系、祝福、座位、行动次数</x:v>
      </x:c>
      <x:c r="I213" s="52" t="str">
        <x:v>寿星入座带动全桌回应，红包沿亲属关系依次飞来</x:v>
      </x:c>
      <x:c r="J213" s="52" t="str">
        <x:v>熟悉日常社交与群体活动的玩家</x:v>
      </x:c>
      <x:c r="K213" s="52" t="str">
        <x:v>熟悉感主要面向中文文化用户，经济循环需封顶</x:v>
      </x:c>
      <x:c r="L213" s="38"/>
      <x:c r="M213" s="38"/>
      <x:c r="N213" s="38"/>
      <x:c r="O213" s="38"/>
      <x:c r="P213" s="38"/>
    </x:row>
    <x:row r="214" ht="45" customHeight="1">
      <x:c r="A214" s="61" t="n">
        <x:v>84</x:v>
      </x:c>
      <x:c r="B214" s="59" t="str">
        <x:v>群聊管理员</x:v>
      </x:c>
      <x:c r="C214" s="53" t="str">
        <x:v>人际与仪式</x:v>
      </x:c>
      <x:c r="D214" s="53" t="str">
        <x:v>小</x:v>
      </x:c>
      <x:c r="E214" s="53" t="str">
        <x:v>备选</x:v>
      </x:c>
      <x:c r="F214" s="53" t="str">
        <x:v>置顶、引用、转发、收通知</x:v>
      </x:c>
      <x:c r="G214" s="53" t="str">
        <x:v>消息链成为实体资源，群规与机器人可以压缩、分流和转化消息</x:v>
      </x:c>
      <x:c r="H214" s="53" t="str">
        <x:v>群规、消息标签、机器人、注意力</x:v>
      </x:c>
      <x:c r="I214" s="53" t="str">
        <x:v>把一屏重复消息合成一个通知包，一次执行完成多项任务</x:v>
      </x:c>
      <x:c r="J214" s="53" t="str">
        <x:v>熟悉日常社交与群体活动的玩家</x:v>
      </x:c>
      <x:c r="K214" s="53" t="str">
        <x:v>采用虚构群聊与模板消息，避免大量对白生产</x:v>
      </x:c>
      <x:c r="L214" s="38"/>
      <x:c r="M214" s="38"/>
      <x:c r="N214" s="38"/>
      <x:c r="O214" s="38"/>
      <x:c r="P214" s="38"/>
    </x:row>
    <x:row r="215" ht="45" customHeight="1">
      <x:c r="A215" s="60" t="n">
        <x:v>85</x:v>
      </x:c>
      <x:c r="B215" s="58" t="str">
        <x:v>谈判换条件</x:v>
      </x:c>
      <x:c r="C215" s="52" t="str">
        <x:v>人际与仪式</x:v>
      </x:c>
      <x:c r="D215" s="52" t="str">
        <x:v>小</x:v>
      </x:c>
      <x:c r="E215" s="52" t="str">
        <x:v>备选</x:v>
      </x:c>
      <x:c r="F215" s="52" t="str">
        <x:v>提出要求、交换条件、妥协</x:v>
      </x:c>
      <x:c r="G215" s="52" t="str">
        <x:v>条件是可拆分的卡片，改变交付时间或范围会改写双方价值</x:v>
      </x:c>
      <x:c r="H215" s="52" t="str">
        <x:v>条件词条、信誉、时间、替代方案</x:v>
      </x:c>
      <x:c r="I215" s="52" t="str">
        <x:v>用对方闲置的运输能力交换自己过剩的材料，双方目标同时达成</x:v>
      </x:c>
      <x:c r="J215" s="52" t="str">
        <x:v>熟悉日常社交与群体活动的玩家</x:v>
      </x:c>
      <x:c r="K215" s="52" t="str">
        <x:v>需要透明需求和有限语法，不能依赖任意对话理解</x:v>
      </x:c>
      <x:c r="L215" s="38"/>
      <x:c r="M215" s="38"/>
      <x:c r="N215" s="38"/>
      <x:c r="O215" s="38"/>
      <x:c r="P215" s="38"/>
    </x:row>
    <x:row r="216" ht="45" customHeight="1">
      <x:c r="A216" s="61" t="n">
        <x:v>86</x:v>
      </x:c>
      <x:c r="B216" s="59" t="str">
        <x:v>婚礼救场王</x:v>
      </x:c>
      <x:c r="C216" s="53" t="str">
        <x:v>人际与仪式</x:v>
      </x:c>
      <x:c r="D216" s="53" t="str">
        <x:v>中</x:v>
      </x:c>
      <x:c r="E216" s="53" t="str">
        <x:v>备选</x:v>
      </x:c>
      <x:c r="F216" s="53" t="str">
        <x:v>排流程、上菜、控音乐、照顾宾客</x:v>
      </x:c>
      <x:c r="G216" s="53" t="str">
        <x:v>意外能接成新节目，临场重排环节改变全场情绪</x:v>
      </x:c>
      <x:c r="H216" s="53" t="str">
        <x:v>环节卡、宾客、舞台道具、应急方案</x:v>
      </x:c>
      <x:c r="I216" s="53" t="str">
        <x:v>话筒坏了接全场合唱，停电又顺势变成荧光棒高潮</x:v>
      </x:c>
      <x:c r="J216" s="53" t="str">
        <x:v>熟悉日常社交与群体活动的玩家</x:v>
      </x:c>
      <x:c r="K216" s="53" t="str">
        <x:v>同类意外需要多种应对，避免背唯一答案</x:v>
      </x:c>
      <x:c r="L216" s="38"/>
      <x:c r="M216" s="38"/>
      <x:c r="N216" s="38"/>
      <x:c r="O216" s="38"/>
      <x:c r="P216" s="38"/>
    </x:row>
    <x:row r="217" ht="45" customHeight="1">
      <x:c r="A217" s="60" t="n">
        <x:v>87</x:v>
      </x:c>
      <x:c r="B217" s="58" t="str">
        <x:v>家庭任务接龙</x:v>
      </x:c>
      <x:c r="C217" s="52" t="str">
        <x:v>人际与仪式</x:v>
      </x:c>
      <x:c r="D217" s="52" t="str">
        <x:v>小</x:v>
      </x:c>
      <x:c r="E217" s="52" t="str">
        <x:v>备选</x:v>
      </x:c>
      <x:c r="F217" s="52" t="str">
        <x:v>做饭、接送、收拾、分工</x:v>
      </x:c>
      <x:c r="G217" s="52" t="str">
        <x:v>完成任务留下可复用状态，接力安排能让一个动作解决多项需求</x:v>
      </x:c>
      <x:c r="H217" s="52" t="str">
        <x:v>家庭成员、任务顺序、地点、精力</x:v>
      </x:c>
      <x:c r="I217" s="52" t="str">
        <x:v>做饭顺便烧水，热水用于清洁，清洁腾出下一项活动空间</x:v>
      </x:c>
      <x:c r="J217" s="52" t="str">
        <x:v>熟悉日常社交与群体活动的玩家</x:v>
      </x:c>
      <x:c r="K217" s="52" t="str">
        <x:v>主题要轻松，避免把现实家务压力原样搬来</x:v>
      </x:c>
      <x:c r="L217" s="38"/>
      <x:c r="M217" s="38"/>
      <x:c r="N217" s="38"/>
      <x:c r="O217" s="38"/>
      <x:c r="P217" s="38"/>
    </x:row>
    <x:row r="218" ht="45" customHeight="1">
      <x:c r="A218" s="61" t="n">
        <x:v>88</x:v>
      </x:c>
      <x:c r="B218" s="59" t="str">
        <x:v>辩论接梗王</x:v>
      </x:c>
      <x:c r="C218" s="53" t="str">
        <x:v>人际与仪式</x:v>
      </x:c>
      <x:c r="D218" s="53" t="str">
        <x:v>中</x:v>
      </x:c>
      <x:c r="E218" s="53" t="str">
        <x:v>备选</x:v>
      </x:c>
      <x:c r="F218" s="53" t="str">
        <x:v>接话、反问、举例、收尾</x:v>
      </x:c>
      <x:c r="G218" s="53" t="str">
        <x:v>上一句留下的关键词可变为下一句资源，笑点与逻辑各有目标</x:v>
      </x:c>
      <x:c r="H218" s="53" t="str">
        <x:v>话术模板、关键词、听众偏好、语气</x:v>
      </x:c>
      <x:c r="I218" s="53" t="str">
        <x:v>把对方的比喻接成连续三次反转，观众反应一路升级</x:v>
      </x:c>
      <x:c r="J218" s="53" t="str">
        <x:v>熟悉日常社交与群体活动的玩家</x:v>
      </x:c>
      <x:c r="K218" s="53" t="str">
        <x:v>对白需求较高，需固定题库和明确规则</x:v>
      </x:c>
      <x:c r="L218" s="38"/>
      <x:c r="M218" s="38"/>
      <x:c r="N218" s="38"/>
      <x:c r="O218" s="38"/>
      <x:c r="P218" s="38"/>
    </x:row>
    <x:row r="219" ht="45" customHeight="1">
      <x:c r="A219" s="60" t="n">
        <x:v>89</x:v>
      </x:c>
      <x:c r="B219" s="58" t="str">
        <x:v>灯会连锁局</x:v>
      </x:c>
      <x:c r="C219" s="52" t="str">
        <x:v>人际与仪式</x:v>
      </x:c>
      <x:c r="D219" s="52" t="str">
        <x:v>中</x:v>
      </x:c>
      <x:c r="E219" s="52" t="str">
        <x:v>备选</x:v>
      </x:c>
      <x:c r="F219" s="52" t="str">
        <x:v>挂灯、猜谜、逛灯会</x:v>
      </x:c>
      <x:c r="G219" s="52" t="str">
        <x:v>灯笼投影互相补全图案，谜底又解锁改变光路的组件</x:v>
      </x:c>
      <x:c r="H219" s="52" t="str">
        <x:v>灯笼、投影、谜面碎片、街道布局</x:v>
      </x:c>
      <x:c r="I219" s="52" t="str">
        <x:v>转一盏灯，整条街的碎影拼成一条会游动的龙</x:v>
      </x:c>
      <x:c r="J219" s="52" t="str">
        <x:v>熟悉日常社交与群体活动的玩家</x:v>
      </x:c>
      <x:c r="K219" s="52" t="str">
        <x:v>谜题与构筑都要有多个解法</x:v>
      </x:c>
      <x:c r="L219" s="38"/>
      <x:c r="M219" s="38"/>
      <x:c r="N219" s="38"/>
      <x:c r="O219" s="38"/>
      <x:c r="P219" s="38"/>
    </x:row>
    <x:row r="220" ht="45" customHeight="1">
      <x:c r="A220" s="61" t="n">
        <x:v>90</x:v>
      </x:c>
      <x:c r="B220" s="59" t="str">
        <x:v>合照站位大师</x:v>
      </x:c>
      <x:c r="C220" s="53" t="str">
        <x:v>人际与仪式</x:v>
      </x:c>
      <x:c r="D220" s="53" t="str">
        <x:v>小</x:v>
      </x:c>
      <x:c r="E220" s="53" t="str">
        <x:v>备选</x:v>
      </x:c>
      <x:c r="F220" s="53" t="str">
        <x:v>排高矮、看镜头、调整姿势</x:v>
      </x:c>
      <x:c r="G220" s="53" t="str">
        <x:v>前后排遮挡与反光改变人物技能，快门时统一结算关系组合</x:v>
      </x:c>
      <x:c r="H220" s="53" t="str">
        <x:v>站位、姿势、镜头、道具、人物需求</x:v>
      </x:c>
      <x:c r="I220" s="53" t="str">
        <x:v>把镜子递到后排，原本被挡住的人全部出现在合照里</x:v>
      </x:c>
      <x:c r="J220" s="53" t="str">
        <x:v>熟悉日常社交与群体活动的玩家</x:v>
      </x:c>
      <x:c r="K220" s="53" t="str">
        <x:v>需要可视化满足条件，避免只数标签</x:v>
      </x:c>
      <x:c r="L220" s="38"/>
      <x:c r="M220" s="38"/>
      <x:c r="N220" s="38"/>
      <x:c r="O220" s="38"/>
      <x:c r="P220" s="38"/>
    </x:row>
    <x:row r="221" ht="45" customHeight="1">
      <x:c r="A221" s="60" t="n">
        <x:v>91</x:v>
      </x:c>
      <x:c r="B221" s="58" t="str">
        <x:v>猫咪多米诺</x:v>
      </x:c>
      <x:c r="C221" s="52" t="str">
        <x:v>动物与自然</x:v>
      </x:c>
      <x:c r="D221" s="52" t="str">
        <x:v>中</x:v>
      </x:c>
      <x:c r="E221" s="52" t="str">
        <x:v>备选</x:v>
      </x:c>
      <x:c r="F221" s="52" t="str">
        <x:v>猫推东西、钻箱子、追光点</x:v>
      </x:c>
      <x:c r="G221" s="52" t="str">
        <x:v>猫的习性是可引导的自动行为，家具位置把捣乱变成任务链</x:v>
      </x:c>
      <x:c r="H221" s="52" t="str">
        <x:v>猫性格、家具、玩具、行为顺序</x:v>
      </x:c>
      <x:c r="I221" s="52" t="str">
        <x:v>逗猫棒引猫推杯子，杯子滚动开柜门，另一只猫搬走目标</x:v>
      </x:c>
      <x:c r="J221" s="52" t="str">
        <x:v>偏可爱生物、工具改造和生态组合的玩家</x:v>
      </x:c>
      <x:c r="K221" s="52" t="str">
        <x:v>行为必须稳定可预测，别只靠随机卖萌</x:v>
      </x:c>
      <x:c r="L221" s="38"/>
      <x:c r="M221" s="38"/>
      <x:c r="N221" s="38"/>
      <x:c r="O221" s="38"/>
      <x:c r="P221" s="38"/>
    </x:row>
    <x:row r="222" ht="45" customHeight="1">
      <x:c r="A222" s="61" t="n">
        <x:v>92</x:v>
      </x:c>
      <x:c r="B222" s="59" t="str">
        <x:v>蚁群画路师</x:v>
      </x:c>
      <x:c r="C222" s="53" t="str">
        <x:v>动物与自然</x:v>
      </x:c>
      <x:c r="D222" s="53" t="str">
        <x:v>中</x:v>
      </x:c>
      <x:c r="E222" s="53" t="str">
        <x:v>备选</x:v>
      </x:c>
      <x:c r="F222" s="53" t="str">
        <x:v>蚂蚁排队搬食物</x:v>
      </x:c>
      <x:c r="G222" s="53" t="str">
        <x:v>画不同气味路线分配搬运、切割和搭桥，交叉点决定分工</x:v>
      </x:c>
      <x:c r="H222" s="53" t="str">
        <x:v>蚂蚁种类、气味线、巢穴、搬运工具</x:v>
      </x:c>
      <x:c r="I222" s="53" t="str">
        <x:v>画三条线，蚁群自动切蛋糕、搭桥、把食物送回地下</x:v>
      </x:c>
      <x:c r="J222" s="53" t="str">
        <x:v>偏可爱生物、工具改造和生态组合的玩家</x:v>
      </x:c>
      <x:c r="K222" s="53" t="str">
        <x:v>拥堵和资源压力要推动后续调整</x:v>
      </x:c>
      <x:c r="L222" s="38"/>
      <x:c r="M222" s="38"/>
      <x:c r="N222" s="38"/>
      <x:c r="O222" s="38"/>
      <x:c r="P222" s="38"/>
    </x:row>
    <x:row r="223" ht="45" customHeight="1">
      <x:c r="A223" s="60" t="n">
        <x:v>93</x:v>
      </x:c>
      <x:c r="B223" s="58" t="str">
        <x:v>蜜蜂花路</x:v>
      </x:c>
      <x:c r="C223" s="52" t="str">
        <x:v>动物与自然</x:v>
      </x:c>
      <x:c r="D223" s="52" t="str">
        <x:v>小</x:v>
      </x:c>
      <x:c r="E223" s="52" t="str">
        <x:v>备选</x:v>
      </x:c>
      <x:c r="F223" s="52" t="str">
        <x:v>采蜜、授粉、回蜂巢</x:v>
      </x:c>
      <x:c r="G223" s="52" t="str">
        <x:v>采花顺序改变携带花粉，沿路可把其他花改成新品种</x:v>
      </x:c>
      <x:c r="H223" s="52" t="str">
        <x:v>花种、蜂种、路线、蜂巢格</x:v>
      </x:c>
      <x:c r="I223" s="52" t="str">
        <x:v>一只蜂按顺序授粉，整片花田连锁变色并同时开花</x:v>
      </x:c>
      <x:c r="J223" s="52" t="str">
        <x:v>偏可爱生物、工具改造和生态组合的玩家</x:v>
      </x:c>
      <x:c r="K223" s="52" t="str">
        <x:v>用幻想化有限遗传规则，避免真实生物知识门槛</x:v>
      </x:c>
      <x:c r="L223" s="38"/>
      <x:c r="M223" s="38"/>
      <x:c r="N223" s="38"/>
      <x:c r="O223" s="38"/>
      <x:c r="P223" s="38"/>
    </x:row>
    <x:row r="224" ht="45" customHeight="1">
      <x:c r="A224" s="61" t="n">
        <x:v>94</x:v>
      </x:c>
      <x:c r="B224" s="59" t="str">
        <x:v>蒲公英远征</x:v>
      </x:c>
      <x:c r="C224" s="53" t="str">
        <x:v>动物与自然</x:v>
      </x:c>
      <x:c r="D224" s="53" t="str">
        <x:v>中</x:v>
      </x:c>
      <x:c r="E224" s="53" t="str">
        <x:v>备选</x:v>
      </x:c>
      <x:c r="F224" s="53" t="str">
        <x:v>吹种子、借风飘落、生根</x:v>
      </x:c>
      <x:c r="G224" s="53" t="str">
        <x:v>落点植物改变下一阵风，后代种子可带走环境特性</x:v>
      </x:c>
      <x:c r="H224" s="53" t="str">
        <x:v>种子、绒毛、地形、风路</x:v>
      </x:c>
      <x:c r="I224" s="53" t="str">
        <x:v>第一批种子种出挡风林，第二批借新风场越过山谷</x:v>
      </x:c>
      <x:c r="J224" s="53" t="str">
        <x:v>偏可爱生物、工具改造和生态组合的玩家</x:v>
      </x:c>
      <x:c r="K224" s="53" t="str">
        <x:v>风场预览要清楚，避免观赏多于决策</x:v>
      </x:c>
      <x:c r="L224" s="38"/>
      <x:c r="M224" s="38"/>
      <x:c r="N224" s="38"/>
      <x:c r="O224" s="38"/>
      <x:c r="P224" s="38"/>
    </x:row>
    <x:row r="225" ht="45" customHeight="1">
      <x:c r="A225" s="60" t="n">
        <x:v>95</x:v>
      </x:c>
      <x:c r="B225" s="58" t="str">
        <x:v>珊瑚共生城</x:v>
      </x:c>
      <x:c r="C225" s="52" t="str">
        <x:v>动物与自然</x:v>
      </x:c>
      <x:c r="D225" s="52" t="str">
        <x:v>小</x:v>
      </x:c>
      <x:c r="E225" s="52" t="str">
        <x:v>备选</x:v>
      </x:c>
      <x:c r="F225" s="52" t="str">
        <x:v>养鱼、布置水族箱、清理水质</x:v>
      </x:c>
      <x:c r="G225" s="52" t="str">
        <x:v>生物的废物、遮荫与水流可供给其他生物，形成可调生态链</x:v>
      </x:c>
      <x:c r="H225" s="52" t="str">
        <x:v>珊瑚、鱼、清洁生物、水流</x:v>
      </x:c>
      <x:c r="I225" s="52" t="str">
        <x:v>原本浑浊的角落接入清洁链，整座礁石同时活跃起来</x:v>
      </x:c>
      <x:c r="J225" s="52" t="str">
        <x:v>偏可爱生物、工具改造和生态组合的玩家</x:v>
      </x:c>
      <x:c r="K225" s="52" t="str">
        <x:v>生态采用抽象资源，不承诺真实养殖模拟</x:v>
      </x:c>
      <x:c r="L225" s="38"/>
      <x:c r="M225" s="38"/>
      <x:c r="N225" s="38"/>
      <x:c r="O225" s="38"/>
      <x:c r="P225" s="38"/>
    </x:row>
    <x:row r="226" ht="45" customHeight="1">
      <x:c r="A226" s="61" t="n">
        <x:v>96</x:v>
      </x:c>
      <x:c r="B226" s="59" t="str">
        <x:v>蘑菇地下网</x:v>
      </x:c>
      <x:c r="C226" s="53" t="str">
        <x:v>动物与自然</x:v>
      </x:c>
      <x:c r="D226" s="53" t="str">
        <x:v>小</x:v>
      </x:c>
      <x:c r="E226" s="53" t="str">
        <x:v>备选</x:v>
      </x:c>
      <x:c r="F226" s="53" t="str">
        <x:v>种蘑菇、采收、观察生长</x:v>
      </x:c>
      <x:c r="G226" s="53" t="str">
        <x:v>地上采走蘑菇后地下网络仍保留能力，断网和接网改变分配</x:v>
      </x:c>
      <x:c r="H226" s="53" t="str">
        <x:v>菌丝、营养节点、蘑菇、采收顺序</x:v>
      </x:c>
      <x:c r="I226" s="53" t="str">
        <x:v>只补上一小段菌丝，三个远处菇群同时完成一轮生长</x:v>
      </x:c>
      <x:c r="J226" s="53" t="str">
        <x:v>偏可爱生物、工具改造和生态组合的玩家</x:v>
      </x:c>
      <x:c r="K226" s="53" t="str">
        <x:v>需要局面变化避免静态最优网络</x:v>
      </x:c>
      <x:c r="L226" s="38"/>
      <x:c r="M226" s="38"/>
      <x:c r="N226" s="38"/>
      <x:c r="O226" s="38"/>
      <x:c r="P226" s="38"/>
    </x:row>
    <x:row r="227" ht="45" customHeight="1">
      <x:c r="A227" s="60" t="n">
        <x:v>97</x:v>
      </x:c>
      <x:c r="B227" s="58" t="str">
        <x:v>寄居蟹豪宅</x:v>
      </x:c>
      <x:c r="C227" s="52" t="str">
        <x:v>动物与自然</x:v>
      </x:c>
      <x:c r="D227" s="52" t="str">
        <x:v>中</x:v>
      </x:c>
      <x:c r="E227" s="52" t="str">
        <x:v>首轮候选</x:v>
      </x:c>
      <x:c r="F227" s="52" t="str">
        <x:v>捡壳、换壳、保护身体</x:v>
      </x:c>
      <x:c r="G227" s="52" t="str">
        <x:v>壳也能是锅、杯子或玩具车，外形、移动方式与装备空间一起改变</x:v>
      </x:c>
      <x:c r="H227" s="52" t="str">
        <x:v>壳体、挂件、共生物、重量</x:v>
      </x:c>
      <x:c r="I227" s="52" t="str">
        <x:v>顶锅盖、背海葵、坐玩具坦克的小蟹横穿海滩</x:v>
      </x:c>
      <x:c r="J227" s="52" t="str">
        <x:v>偏可爱生物、工具改造和生态组合的玩家</x:v>
      </x:c>
      <x:c r="K227" s="52" t="str">
        <x:v>移动方式应随壳改变，大壳必须付出机动代价</x:v>
      </x:c>
      <x:c r="L227" s="38"/>
      <x:c r="M227" s="38"/>
      <x:c r="N227" s="38"/>
      <x:c r="O227" s="38"/>
      <x:c r="P227" s="38"/>
    </x:row>
    <x:row r="228" ht="45" customHeight="1">
      <x:c r="A228" s="61" t="n">
        <x:v>98</x:v>
      </x:c>
      <x:c r="B228" s="59" t="str">
        <x:v>候鸟编队</x:v>
      </x:c>
      <x:c r="C228" s="53" t="str">
        <x:v>动物与自然</x:v>
      </x:c>
      <x:c r="D228" s="53" t="str">
        <x:v>中</x:v>
      </x:c>
      <x:c r="E228" s="53" t="str">
        <x:v>备选</x:v>
      </x:c>
      <x:c r="F228" s="53" t="str">
        <x:v>排成人字、轮流领飞、借风</x:v>
      </x:c>
      <x:c r="G228" s="53" t="str">
        <x:v>不同鸟放在不同位置会改变整队的风场和技能传递</x:v>
      </x:c>
      <x:c r="H228" s="53" t="str">
        <x:v>鸟种、队形、领飞顺序、气流</x:v>
      </x:c>
      <x:c r="I228" s="53" t="str">
        <x:v>换一个领飞位置，整队借上新气流一起越过风暴</x:v>
      </x:c>
      <x:c r="J228" s="53" t="str">
        <x:v>偏可爱生物、工具改造和生态组合的玩家</x:v>
      </x:c>
      <x:c r="K228" s="53" t="str">
        <x:v>飞行表现可抽象为路线与阵型选择</x:v>
      </x:c>
      <x:c r="L228" s="38"/>
      <x:c r="M228" s="38"/>
      <x:c r="N228" s="38"/>
      <x:c r="O228" s="38"/>
      <x:c r="P228" s="38"/>
    </x:row>
    <x:row r="229" ht="45" customHeight="1">
      <x:c r="A229" s="60" t="n">
        <x:v>99</x:v>
      </x:c>
      <x:c r="B229" s="58" t="str">
        <x:v>八臂海盗</x:v>
      </x:c>
      <x:c r="C229" s="52" t="str">
        <x:v>动物与自然</x:v>
      </x:c>
      <x:c r="D229" s="52" t="str">
        <x:v>中</x:v>
      </x:c>
      <x:c r="E229" s="52" t="str">
        <x:v>备选</x:v>
      </x:c>
      <x:c r="F229" s="52" t="str">
        <x:v>划船、举盾、开炮、搬宝物</x:v>
      </x:c>
      <x:c r="G229" s="52" t="str">
        <x:v>触手各持一种工具，共享体力与空间，工具间可以传递物品</x:v>
      </x:c>
      <x:c r="H229" s="52" t="str">
        <x:v>触手、工具、船体、握持顺序</x:v>
      </x:c>
      <x:c r="I229" s="52" t="str">
        <x:v>四臂开炮两臂划船，靠近敌船后换成八臂拆船</x:v>
      </x:c>
      <x:c r="J229" s="52" t="str">
        <x:v>偏可爱生物、工具改造和生态组合的玩家</x:v>
      </x:c>
      <x:c r="K229" s="52" t="str">
        <x:v>先固定视角与有限动作，避免多肢动画失控</x:v>
      </x:c>
      <x:c r="L229" s="38"/>
      <x:c r="M229" s="38"/>
      <x:c r="N229" s="38"/>
      <x:c r="O229" s="38"/>
      <x:c r="P229" s="38"/>
    </x:row>
    <x:row r="230" ht="45" customHeight="1">
      <x:c r="A230" s="61" t="n">
        <x:v>100</x:v>
      </x:c>
      <x:c r="B230" s="59" t="str">
        <x:v>变色龙偷颜色</x:v>
      </x:c>
      <x:c r="C230" s="53" t="str">
        <x:v>动物与自然</x:v>
      </x:c>
      <x:c r="D230" s="53" t="str">
        <x:v>中</x:v>
      </x:c>
      <x:c r="E230" s="53" t="str">
        <x:v>备选</x:v>
      </x:c>
      <x:c r="F230" s="53" t="str">
        <x:v>变色、伪装、伸舌头</x:v>
      </x:c>
      <x:c r="G230" s="53" t="str">
        <x:v>颜色对应能力，吸走环境颜色会改变环境，涂回去可创造新用途</x:v>
      </x:c>
      <x:c r="H230" s="53" t="str">
        <x:v>颜色槽、色彩组合、舌头、涂色方式</x:v>
      </x:c>
      <x:c r="I230" s="53" t="str">
        <x:v>舔走火焰的红色使它熄灭，再涂到藤蔓上点燃新路线</x:v>
      </x:c>
      <x:c r="J230" s="53" t="str">
        <x:v>偏可爱生物、工具改造和生态组合的玩家</x:v>
      </x:c>
      <x:c r="K230" s="53" t="str">
        <x:v>固定颜色语义并兼顾色觉可访问性</x:v>
      </x:c>
      <x:c r="L230" s="38"/>
      <x:c r="M230" s="38"/>
      <x:c r="N230" s="38"/>
      <x:c r="O230" s="38"/>
      <x:c r="P230" s="38"/>
    </x:row>
    <x:row r="231" ht="45" customHeight="1">
      <x:c r="A231" s="60" t="n">
        <x:v>101</x:v>
      </x:c>
      <x:c r="B231" s="58" t="str">
        <x:v>年兽这一夜</x:v>
      </x:c>
      <x:c r="C231" s="52" t="str">
        <x:v>神话与民俗</x:v>
      </x:c>
      <x:c r="D231" s="52" t="str">
        <x:v>中</x:v>
      </x:c>
      <x:c r="E231" s="52" t="str">
        <x:v>备选</x:v>
      </x:c>
      <x:c r="F231" s="52" t="str">
        <x:v>放鞭炮、挂灯笼、贴红纸</x:v>
      </x:c>
      <x:c r="G231" s="52" t="str">
        <x:v>声音、光、火与红色分别作用，街道设施可传递和转换它们</x:v>
      </x:c>
      <x:c r="H231" s="52" t="str">
        <x:v>鞭炮、红绳、灯笼、街道</x:v>
      </x:c>
      <x:c r="I231" s="52" t="str">
        <x:v>一根火柴引燃整条街的接力，把年兽一路赶到终点</x:v>
      </x:c>
      <x:c r="J231" s="52" t="str">
        <x:v>优先面向熟悉中文文化的玩家</x:v>
      </x:c>
      <x:c r="K231" s="52" t="str">
        <x:v>文化符号需对应可读规则，效果不能只是伤害颜色</x:v>
      </x:c>
      <x:c r="L231" s="38"/>
      <x:c r="M231" s="38"/>
      <x:c r="N231" s="38"/>
      <x:c r="O231" s="38"/>
      <x:c r="P231" s="38"/>
    </x:row>
    <x:row r="232" ht="45" customHeight="1">
      <x:c r="A232" s="61" t="n">
        <x:v>102</x:v>
      </x:c>
      <x:c r="B232" s="59" t="str">
        <x:v>赶尸快递</x:v>
      </x:c>
      <x:c r="C232" s="53" t="str">
        <x:v>神话与民俗</x:v>
      </x:c>
      <x:c r="D232" s="53" t="str">
        <x:v>中</x:v>
      </x:c>
      <x:c r="E232" s="53" t="str">
        <x:v>备选</x:v>
      </x:c>
      <x:c r="F232" s="53" t="str">
        <x:v>跟随队列、打拍子、搬运货物</x:v>
      </x:c>
      <x:c r="G232" s="53" t="str">
        <x:v>每个僵尸有特殊步伐，换位使队列跨障碍并连锁触发机关</x:v>
      </x:c>
      <x:c r="H232" s="53" t="str">
        <x:v>铃铛、符纸、僵尸、队列顺序</x:v>
      </x:c>
      <x:c r="I232" s="53" t="str">
        <x:v>前排踩机关后排抬桥，再用喷嚏把队伍吹过沟</x:v>
      </x:c>
      <x:c r="J232" s="53" t="str">
        <x:v>优先面向熟悉中文文化的玩家</x:v>
      </x:c>
      <x:c r="K232" s="53" t="str">
        <x:v>先用固定步伐与路径，避免复杂跟随AI</x:v>
      </x:c>
      <x:c r="L232" s="38"/>
      <x:c r="M232" s="38"/>
      <x:c r="N232" s="38"/>
      <x:c r="O232" s="38"/>
      <x:c r="P232" s="38"/>
    </x:row>
    <x:row r="233" ht="45" customHeight="1">
      <x:c r="A233" s="60" t="n">
        <x:v>103</x:v>
      </x:c>
      <x:c r="B233" s="58" t="str">
        <x:v>龙王调水局</x:v>
      </x:c>
      <x:c r="C233" s="52" t="str">
        <x:v>神话与民俗</x:v>
      </x:c>
      <x:c r="D233" s="52" t="str">
        <x:v>小</x:v>
      </x:c>
      <x:c r="E233" s="52" t="str">
        <x:v>备选</x:v>
      </x:c>
      <x:c r="F233" s="52" t="str">
        <x:v>看雨云、蓄水、放水、灌溉</x:v>
      </x:c>
      <x:c r="G233" s="52" t="str">
        <x:v>云和河流是可搬运的资源模块，雨水经历不同区域后改变能力</x:v>
      </x:c>
      <x:c r="H233" s="52" t="str">
        <x:v>云团、河道、水库、风向</x:v>
      </x:c>
      <x:c r="I233" s="52" t="str">
        <x:v>把一团暴雨放到山顶，沿路浇田、发电、冲开干涸河道</x:v>
      </x:c>
      <x:c r="J233" s="52" t="str">
        <x:v>优先面向熟悉中文文化的玩家</x:v>
      </x:c>
      <x:c r="K233" s="52" t="str">
        <x:v>目标需要季节与区域变化，不能全靠拖图标</x:v>
      </x:c>
      <x:c r="L233" s="38"/>
      <x:c r="M233" s="38"/>
      <x:c r="N233" s="38"/>
      <x:c r="O233" s="38"/>
      <x:c r="P233" s="38"/>
    </x:row>
    <x:row r="234" ht="45" customHeight="1">
      <x:c r="A234" s="61" t="n">
        <x:v>104</x:v>
      </x:c>
      <x:c r="B234" s="59" t="str">
        <x:v>土地公一亩田</x:v>
      </x:c>
      <x:c r="C234" s="53" t="str">
        <x:v>神话与民俗</x:v>
      </x:c>
      <x:c r="D234" s="53" t="str">
        <x:v>小</x:v>
      </x:c>
      <x:c r="E234" s="53" t="str">
        <x:v>备选</x:v>
      </x:c>
      <x:c r="F234" s="53" t="str">
        <x:v>种地、轮作、施肥、收成</x:v>
      </x:c>
      <x:c r="G234" s="53" t="str">
        <x:v>小地块可以叠加季节，前季残留成为下一季作物的能力</x:v>
      </x:c>
      <x:c r="H234" s="53" t="str">
        <x:v>作物、季节顺序、土壤、祭品</x:v>
      </x:c>
      <x:c r="I234" s="53" t="str">
        <x:v>刚收完的稻田留下养分，转季后全田蘑菇一起爆发</x:v>
      </x:c>
      <x:c r="J234" s="53" t="str">
        <x:v>优先面向熟悉中文文化的玩家</x:v>
      </x:c>
      <x:c r="K234" s="53" t="str">
        <x:v>要与常规农场经营区分，核心放在季节组合</x:v>
      </x:c>
      <x:c r="L234" s="38"/>
      <x:c r="M234" s="38"/>
      <x:c r="N234" s="38"/>
      <x:c r="O234" s="38"/>
      <x:c r="P234" s="38"/>
    </x:row>
    <x:row r="235" ht="45" customHeight="1">
      <x:c r="A235" s="60" t="n">
        <x:v>105</x:v>
      </x:c>
      <x:c r="B235" s="58" t="str">
        <x:v>阎王判词局</x:v>
      </x:c>
      <x:c r="C235" s="52" t="str">
        <x:v>神话与民俗</x:v>
      </x:c>
      <x:c r="D235" s="52" t="str">
        <x:v>小</x:v>
      </x:c>
      <x:c r="E235" s="52" t="str">
        <x:v>备选</x:v>
      </x:c>
      <x:c r="F235" s="52" t="str">
        <x:v>看案卷、写结论、盖章分流</x:v>
      </x:c>
      <x:c r="G235" s="52" t="str">
        <x:v>判词由有限条件与结果组成，灵魂标签会触发不同部门的规则</x:v>
      </x:c>
      <x:c r="H235" s="52" t="str">
        <x:v>判词、标签、部门、转世路线</x:v>
      </x:c>
      <x:c r="I235" s="52" t="str">
        <x:v>把一张案卷连续转过三司，矛盾条件最终化成独特转世能力</x:v>
      </x:c>
      <x:c r="J235" s="52" t="str">
        <x:v>优先面向熟悉中文文化的玩家</x:v>
      </x:c>
      <x:c r="K235" s="52" t="str">
        <x:v>以架空故事和有限语法承载，避免无穷叙事需求</x:v>
      </x:c>
      <x:c r="L235" s="38"/>
      <x:c r="M235" s="38"/>
      <x:c r="N235" s="38"/>
      <x:c r="O235" s="38"/>
      <x:c r="P235" s="38"/>
    </x:row>
    <x:row r="236" ht="45" customHeight="1">
      <x:c r="A236" s="61" t="n">
        <x:v>106</x:v>
      </x:c>
      <x:c r="B236" s="59" t="str">
        <x:v>大圣分身作业</x:v>
      </x:c>
      <x:c r="C236" s="53" t="str">
        <x:v>神话与民俗</x:v>
      </x:c>
      <x:c r="D236" s="53" t="str">
        <x:v>中</x:v>
      </x:c>
      <x:c r="E236" s="53" t="str">
        <x:v>备选</x:v>
      </x:c>
      <x:c r="F236" s="53" t="str">
        <x:v>分工、搬东西、执行重复动作</x:v>
      </x:c>
      <x:c r="G236" s="53" t="str">
        <x:v>分身复制自己刚才的动作片段，换法术后同一片段产生不同用途</x:v>
      </x:c>
      <x:c r="H236" s="53" t="str">
        <x:v>分身、动作片段、法术、路径</x:v>
      </x:c>
      <x:c r="I236" s="53" t="str">
        <x:v>本体摘桃，分身接桃，筋斗云运桃，桃园自动流水线形成</x:v>
      </x:c>
      <x:c r="J236" s="53" t="str">
        <x:v>优先面向熟悉中文文化的玩家</x:v>
      </x:c>
      <x:c r="K236" s="53" t="str">
        <x:v>先做二维固定动作，不依赖自由动作识别</x:v>
      </x:c>
      <x:c r="L236" s="38"/>
      <x:c r="M236" s="38"/>
      <x:c r="N236" s="38"/>
      <x:c r="O236" s="38"/>
      <x:c r="P236" s="38"/>
    </x:row>
    <x:row r="237" ht="45" customHeight="1">
      <x:c r="A237" s="60" t="n">
        <x:v>107</x:v>
      </x:c>
      <x:c r="B237" s="58" t="str">
        <x:v>西游行李箱</x:v>
      </x:c>
      <x:c r="C237" s="52" t="str">
        <x:v>神话与民俗</x:v>
      </x:c>
      <x:c r="D237" s="52" t="str">
        <x:v>小</x:v>
      </x:c>
      <x:c r="E237" s="52" t="str">
        <x:v>备选</x:v>
      </x:c>
      <x:c r="F237" s="52" t="str">
        <x:v>收拾行李、带工具、赶路</x:v>
      </x:c>
      <x:c r="G237" s="52" t="str">
        <x:v>行李会在途中变成道路、营地或队员，使用后减少携带能力</x:v>
      </x:c>
      <x:c r="H237" s="52" t="str">
        <x:v>法宝、箱格、展开顺序、路线</x:v>
      </x:c>
      <x:c r="I237" s="52" t="str">
        <x:v>行李箱展开成小桥，箱内绳子又自动变成下一段缆车</x:v>
      </x:c>
      <x:c r="J237" s="52" t="str">
        <x:v>优先面向熟悉中文文化的玩家</x:v>
      </x:c>
      <x:c r="K237" s="52" t="str">
        <x:v>法宝既有工具价值又占空间才有取舍</x:v>
      </x:c>
      <x:c r="L237" s="38"/>
      <x:c r="M237" s="38"/>
      <x:c r="N237" s="38"/>
      <x:c r="O237" s="38"/>
      <x:c r="P237" s="38"/>
    </x:row>
    <x:row r="238" ht="45" customHeight="1">
      <x:c r="A238" s="61" t="n">
        <x:v>108</x:v>
      </x:c>
      <x:c r="B238" s="59" t="str">
        <x:v>春联改命</x:v>
      </x:c>
      <x:c r="C238" s="53" t="str">
        <x:v>神话与民俗</x:v>
      </x:c>
      <x:c r="D238" s="53" t="str">
        <x:v>小</x:v>
      </x:c>
      <x:c r="E238" s="53" t="str">
        <x:v>首轮候选</x:v>
      </x:c>
      <x:c r="F238" s="53" t="str">
        <x:v>贴上联下联、横批、认吉祥话</x:v>
      </x:c>
      <x:c r="G238" s="53" t="str">
        <x:v>上联是条件，下联是效果，横批改变范围，用有限词条组合规则</x:v>
      </x:c>
      <x:c r="H238" s="53" t="str">
        <x:v>条件词、结果词、横批、门位</x:v>
      </x:c>
      <x:c r="I238" s="53" t="str">
        <x:v>迎客得钱买炮，炮声吸引邻客，四间屋连续添福</x:v>
      </x:c>
      <x:c r="J238" s="53" t="str">
        <x:v>优先面向熟悉中文文化的玩家</x:v>
      </x:c>
      <x:c r="K238" s="53" t="str">
        <x:v>固定词库与触发上限，不依赖任意自然语言</x:v>
      </x:c>
      <x:c r="L238" s="38"/>
      <x:c r="M238" s="38"/>
      <x:c r="N238" s="38"/>
      <x:c r="O238" s="38"/>
      <x:c r="P238" s="38"/>
    </x:row>
    <x:row r="239" ht="45" customHeight="1">
      <x:c r="A239" s="60" t="n">
        <x:v>109</x:v>
      </x:c>
      <x:c r="B239" s="58" t="str">
        <x:v>皮影戏布阵</x:v>
      </x:c>
      <x:c r="C239" s="52" t="str">
        <x:v>神话与民俗</x:v>
      </x:c>
      <x:c r="D239" s="52" t="str">
        <x:v>中</x:v>
      </x:c>
      <x:c r="E239" s="52" t="str">
        <x:v>备选</x:v>
      </x:c>
      <x:c r="F239" s="52" t="str">
        <x:v>操纵皮影、打灯、看影子</x:v>
      </x:c>
      <x:c r="G239" s="52" t="str">
        <x:v>影子才是战斗实体，灯距、重叠和关节改变影子的能力</x:v>
      </x:c>
      <x:c r="H239" s="52" t="str">
        <x:v>皮影片、灯位、关节、遮挡层</x:v>
      </x:c>
      <x:c r="I239" s="52" t="str">
        <x:v>移动一盏灯，小兵影子骤然放大并挡住整条路</x:v>
      </x:c>
      <x:c r="J239" s="52" t="str">
        <x:v>优先面向熟悉中文文化的玩家</x:v>
      </x:c>
      <x:c r="K239" s="52" t="str">
        <x:v>光影变形应保持可预测，避免视觉遮挡</x:v>
      </x:c>
      <x:c r="L239" s="38"/>
      <x:c r="M239" s="38"/>
      <x:c r="N239" s="38"/>
      <x:c r="O239" s="38"/>
      <x:c r="P239" s="38"/>
    </x:row>
    <x:row r="240" ht="45" customHeight="1">
      <x:c r="A240" s="61" t="n">
        <x:v>110</x:v>
      </x:c>
      <x:c r="B240" s="59" t="str">
        <x:v>三国借箭局</x:v>
      </x:c>
      <x:c r="C240" s="53" t="str">
        <x:v>神话与民俗</x:v>
      </x:c>
      <x:c r="D240" s="53" t="str">
        <x:v>中</x:v>
      </x:c>
      <x:c r="E240" s="53" t="str">
        <x:v>备选</x:v>
      </x:c>
      <x:c r="F240" s="53" t="str">
        <x:v>草船借箭、借风、排阵</x:v>
      </x:c>
      <x:c r="G240" s="53" t="str">
        <x:v>敌方攻击可转成自己的箭材，船的朝向与承载决定收集和反击</x:v>
      </x:c>
      <x:c r="H240" s="53" t="str">
        <x:v>草船、风向、箭材、编队</x:v>
      </x:c>
      <x:c r="I240" s="53" t="str">
        <x:v>先斜船收满箭，再借风把整批箭一次送回敌阵</x:v>
      </x:c>
      <x:c r="J240" s="53" t="str">
        <x:v>优先面向熟悉中文文化的玩家</x:v>
      </x:c>
      <x:c r="K240" s="53" t="str">
        <x:v>需要收集风险与反击窗口，不能持续无敌吸收</x:v>
      </x:c>
      <x:c r="L240" s="38"/>
      <x:c r="M240" s="38"/>
      <x:c r="N240" s="38"/>
      <x:c r="O240" s="38"/>
      <x:c r="P240" s="38"/>
    </x:row>
    <x:row r="241" ht="45" customHeight="1">
      <x:c r="A241" s="60" t="n">
        <x:v>111</x:v>
      </x:c>
      <x:c r="B241" s="58" t="str">
        <x:v>手电筒造影兵</x:v>
      </x:c>
      <x:c r="C241" s="52" t="str">
        <x:v>超能力与奇观</x:v>
      </x:c>
      <x:c r="D241" s="52" t="str">
        <x:v>中</x:v>
      </x:c>
      <x:c r="E241" s="52" t="str">
        <x:v>备选</x:v>
      </x:c>
      <x:c r="F241" s="52" t="str">
        <x:v>用手电照物体、观察影子</x:v>
      </x:c>
      <x:c r="G241" s="52" t="str">
        <x:v>照出的影子可以短暂独立行动，光源选择决定影子的技能</x:v>
      </x:c>
      <x:c r="H241" s="52" t="str">
        <x:v>光源、物体轮廓、滤片、照射顺序</x:v>
      </x:c>
      <x:c r="I241" s="52" t="str">
        <x:v>用一把梳子的影子生成整排士兵，再照大它们冲过走廊</x:v>
      </x:c>
      <x:c r="J241" s="52" t="str">
        <x:v>偏空间变化、操作表现和幻想的玩家</x:v>
      </x:c>
      <x:c r="K241" s="52" t="str">
        <x:v>实体与影子规则要少且稳定</x:v>
      </x:c>
      <x:c r="L241" s="38"/>
      <x:c r="M241" s="38"/>
      <x:c r="N241" s="38"/>
      <x:c r="O241" s="38"/>
      <x:c r="P241" s="38"/>
    </x:row>
    <x:row r="242" ht="45" customHeight="1">
      <x:c r="A242" s="61" t="n">
        <x:v>112</x:v>
      </x:c>
      <x:c r="B242" s="59" t="str">
        <x:v>倒影交换师</x:v>
      </x:c>
      <x:c r="C242" s="53" t="str">
        <x:v>超能力与奇观</x:v>
      </x:c>
      <x:c r="D242" s="53" t="str">
        <x:v>中</x:v>
      </x:c>
      <x:c r="E242" s="53" t="str">
        <x:v>备选</x:v>
      </x:c>
      <x:c r="F242" s="53" t="str">
        <x:v>照镜子、看倒影、调整角度</x:v>
      </x:c>
      <x:c r="G242" s="53" t="str">
        <x:v>与倒影交换位置或属性，镜面相对位置构成移动与攻击网络</x:v>
      </x:c>
      <x:c r="H242" s="53" t="str">
        <x:v>镜面、反射角、交换能力、次数</x:v>
      </x:c>
      <x:c r="I242" s="53" t="str">
        <x:v>把重物重量换给倒影，轻松搬走本体后再恢复</x:v>
      </x:c>
      <x:c r="J242" s="53" t="str">
        <x:v>偏空间变化、操作表现和幻想的玩家</x:v>
      </x:c>
      <x:c r="K242" s="53" t="str">
        <x:v>反射链数量需限制，避免空间认知过载</x:v>
      </x:c>
      <x:c r="L242" s="38"/>
      <x:c r="M242" s="38"/>
      <x:c r="N242" s="38"/>
      <x:c r="O242" s="38"/>
      <x:c r="P242" s="38"/>
    </x:row>
    <x:row r="243" ht="45" customHeight="1">
      <x:c r="A243" s="60" t="n">
        <x:v>113</x:v>
      </x:c>
      <x:c r="B243" s="58" t="str">
        <x:v>拍照复制城</x:v>
      </x:c>
      <x:c r="C243" s="52" t="str">
        <x:v>超能力与奇观</x:v>
      </x:c>
      <x:c r="D243" s="52" t="str">
        <x:v>大</x:v>
      </x:c>
      <x:c r="E243" s="52" t="str">
        <x:v>高投入探索</x:v>
      </x:c>
      <x:c r="F243" s="52" t="str">
        <x:v>取景、拍照、摆照片</x:v>
      </x:c>
      <x:c r="G243" s="52" t="str">
        <x:v>照片可展开成截取场景的简化副本，拍入多少内容影响代价</x:v>
      </x:c>
      <x:c r="H243" s="52" t="str">
        <x:v>镜头、相纸、取景范围、展开位置</x:v>
      </x:c>
      <x:c r="I243" s="52" t="str">
        <x:v>拍下桥的一段，再将照片展开在悬崖边接出新路</x:v>
      </x:c>
      <x:c r="J243" s="52" t="str">
        <x:v>偏空间变化、操作表现和幻想的玩家</x:v>
      </x:c>
      <x:c r="K243" s="52" t="str">
        <x:v>场景重建成本高，先使用可枚举的模块化对象</x:v>
      </x:c>
      <x:c r="L243" s="38"/>
      <x:c r="M243" s="38"/>
      <x:c r="N243" s="38"/>
      <x:c r="O243" s="38"/>
      <x:c r="P243" s="38"/>
    </x:row>
    <x:row r="244" ht="45" customHeight="1">
      <x:c r="A244" s="61" t="n">
        <x:v>114</x:v>
      </x:c>
      <x:c r="B244" s="59" t="str">
        <x:v>时停搬运工</x:v>
      </x:c>
      <x:c r="C244" s="53" t="str">
        <x:v>超能力与奇观</x:v>
      </x:c>
      <x:c r="D244" s="53" t="str">
        <x:v>中</x:v>
      </x:c>
      <x:c r="E244" s="53" t="str">
        <x:v>备选</x:v>
      </x:c>
      <x:c r="F244" s="53" t="str">
        <x:v>搬家具、摆东西、给物品让路</x:v>
      </x:c>
      <x:c r="G244" s="53" t="str">
        <x:v>暂停时重排物体，恢复后统一释放动量与连接效果</x:v>
      </x:c>
      <x:c r="H244" s="53" t="str">
        <x:v>物体、弹簧、连接件、时停预算</x:v>
      </x:c>
      <x:c r="I244" s="53" t="str">
        <x:v>摆好沙发和轮胎，恢复一秒，整套家具自动进屋</x:v>
      </x:c>
      <x:c r="J244" s="53" t="str">
        <x:v>偏空间变化、操作表现和幻想的玩家</x:v>
      </x:c>
      <x:c r="K244" s="53" t="str">
        <x:v>物理一致性是主要风险，需快速复位</x:v>
      </x:c>
      <x:c r="L244" s="38"/>
      <x:c r="M244" s="38"/>
      <x:c r="N244" s="38"/>
      <x:c r="O244" s="38"/>
      <x:c r="P244" s="38"/>
    </x:row>
    <x:row r="245" ht="45" customHeight="1">
      <x:c r="A245" s="60" t="n">
        <x:v>115</x:v>
      </x:c>
      <x:c r="B245" s="58" t="str">
        <x:v>时间欠条</x:v>
      </x:c>
      <x:c r="C245" s="52" t="str">
        <x:v>超能力与奇观</x:v>
      </x:c>
      <x:c r="D245" s="52" t="str">
        <x:v>小</x:v>
      </x:c>
      <x:c r="E245" s="52" t="str">
        <x:v>备选</x:v>
      </x:c>
      <x:c r="F245" s="52" t="str">
        <x:v>赶期限、借时间、延期交付</x:v>
      </x:c>
      <x:c r="G245" s="52" t="str">
        <x:v>可提前执行未来行动，之后必须偿还回合或资源，组合决定还债方式</x:v>
      </x:c>
      <x:c r="H245" s="52" t="str">
        <x:v>未来行动、延迟奖励、缓冲、还款顺序</x:v>
      </x:c>
      <x:c r="I245" s="52" t="str">
        <x:v>借下一轮三步救当前局，再用延迟收益一次还清</x:v>
      </x:c>
      <x:c r="J245" s="52" t="str">
        <x:v>偏空间变化、操作表现和幻想的玩家</x:v>
      </x:c>
      <x:c r="K245" s="52" t="str">
        <x:v>账目要可视化，防止提前透支成为必选</x:v>
      </x:c>
      <x:c r="L245" s="38"/>
      <x:c r="M245" s="38"/>
      <x:c r="N245" s="38"/>
      <x:c r="O245" s="38"/>
      <x:c r="P245" s="38"/>
    </x:row>
    <x:row r="246" ht="45" customHeight="1">
      <x:c r="A246" s="61" t="n">
        <x:v>116</x:v>
      </x:c>
      <x:c r="B246" s="59" t="str">
        <x:v>反派片场</x:v>
      </x:c>
      <x:c r="C246" s="53" t="str">
        <x:v>超能力与奇观</x:v>
      </x:c>
      <x:c r="D246" s="53" t="str">
        <x:v>中</x:v>
      </x:c>
      <x:c r="E246" s="53" t="str">
        <x:v>备选</x:v>
      </x:c>
      <x:c r="F246" s="53" t="str">
        <x:v>布机关、看英雄闯关、拍高潮</x:v>
      </x:c>
      <x:c r="G246" s="53" t="str">
        <x:v>目标是拍出精彩连续动作，英雄必须活着抵达高潮</x:v>
      </x:c>
      <x:c r="H246" s="53" t="str">
        <x:v>陷阱、替身、场景件、镜头目标</x:v>
      </x:c>
      <x:c r="I246" s="53" t="str">
        <x:v>落石接弹簧接火圈，英雄刚好在爆炸前抓住逃生绳</x:v>
      </x:c>
      <x:c r="J246" s="53" t="str">
        <x:v>偏空间变化、操作表现和幻想的玩家</x:v>
      </x:c>
      <x:c r="K246" s="53" t="str">
        <x:v>连续动作要有多条可行路线</x:v>
      </x:c>
      <x:c r="L246" s="38"/>
      <x:c r="M246" s="38"/>
      <x:c r="N246" s="38"/>
      <x:c r="O246" s="38"/>
      <x:c r="P246" s="38"/>
    </x:row>
    <x:row r="247" ht="45" customHeight="1">
      <x:c r="A247" s="60" t="n">
        <x:v>117</x:v>
      </x:c>
      <x:c r="B247" s="58" t="str">
        <x:v>怪兽拆楼供能</x:v>
      </x:c>
      <x:c r="C247" s="52" t="str">
        <x:v>超能力与奇观</x:v>
      </x:c>
      <x:c r="D247" s="52" t="str">
        <x:v>大</x:v>
      </x:c>
      <x:c r="E247" s="52" t="str">
        <x:v>高投入探索</x:v>
      </x:c>
      <x:c r="F247" s="52" t="str">
        <x:v>推倒积木楼、吞吃、变大</x:v>
      </x:c>
      <x:c r="G247" s="52" t="str">
        <x:v>被拆掉的结构成为身体模块，吞哪部分决定体型与动作</x:v>
      </x:c>
      <x:c r="H247" s="52" t="str">
        <x:v>楼体材料、器官、拆除顺序、体重</x:v>
      </x:c>
      <x:c r="I247" s="52" t="str">
        <x:v>先吞桥梁长出长臂，再拆高楼给自己装上巨大护甲</x:v>
      </x:c>
      <x:c r="J247" s="52" t="str">
        <x:v>偏空间变化、操作表现和幻想的玩家</x:v>
      </x:c>
      <x:c r="K247" s="52" t="str">
        <x:v>破坏与变形内容成本高，适合先固定场景</x:v>
      </x:c>
      <x:c r="L247" s="38"/>
      <x:c r="M247" s="38"/>
      <x:c r="N247" s="38"/>
      <x:c r="O247" s="38"/>
      <x:c r="P247" s="38"/>
    </x:row>
    <x:row r="248" ht="45" customHeight="1">
      <x:c r="A248" s="61" t="n">
        <x:v>118</x:v>
      </x:c>
      <x:c r="B248" s="59" t="str">
        <x:v>缩小探险家</x:v>
      </x:c>
      <x:c r="C248" s="53" t="str">
        <x:v>超能力与奇观</x:v>
      </x:c>
      <x:c r="D248" s="53" t="str">
        <x:v>大</x:v>
      </x:c>
      <x:c r="E248" s="53" t="str">
        <x:v>高投入探索</x:v>
      </x:c>
      <x:c r="F248" s="53" t="str">
        <x:v>在家找东西、爬桌子、用小工具</x:v>
      </x:c>
      <x:c r="G248" s="53" t="str">
        <x:v>针线、纸杯、订书钉都可成为装备，微小场景里的连接决定通路</x:v>
      </x:c>
      <x:c r="H248" s="53" t="str">
        <x:v>日用品、尺寸、材料、组合工具</x:v>
      </x:c>
      <x:c r="I248" s="53" t="str">
        <x:v>纸杯当船、针当桅杆、胶带作帆，横渡一只水槽</x:v>
      </x:c>
      <x:c r="J248" s="53" t="str">
        <x:v>偏空间变化、操作表现和幻想的玩家</x:v>
      </x:c>
      <x:c r="K248" s="53" t="str">
        <x:v>微缩美术与交互量大，先验证一个房间</x:v>
      </x:c>
      <x:c r="L248" s="38"/>
      <x:c r="M248" s="38"/>
      <x:c r="N248" s="38"/>
      <x:c r="O248" s="38"/>
      <x:c r="P248" s="38"/>
    </x:row>
    <x:row r="249" ht="45" customHeight="1">
      <x:c r="A249" s="60" t="n">
        <x:v>119</x:v>
      </x:c>
      <x:c r="B249" s="58" t="str">
        <x:v>天气瓶工厂</x:v>
      </x:c>
      <x:c r="C249" s="52" t="str">
        <x:v>超能力与奇观</x:v>
      </x:c>
      <x:c r="D249" s="52" t="str">
        <x:v>中</x:v>
      </x:c>
      <x:c r="E249" s="52" t="str">
        <x:v>备选</x:v>
      </x:c>
      <x:c r="F249" s="52" t="str">
        <x:v>装水、摇瓶、打开瓶盖</x:v>
      </x:c>
      <x:c r="G249" s="52" t="str">
        <x:v>瓶里装的是局部天气，混合顺序改变释放后的区域效果</x:v>
      </x:c>
      <x:c r="H249" s="52" t="str">
        <x:v>天气、瓶型、混合顺序、喷口</x:v>
      </x:c>
      <x:c r="I249" s="52" t="str">
        <x:v>先装风再装雨，开瓶生成旋转水流，沿场景自动浇灌</x:v>
      </x:c>
      <x:c r="J249" s="52" t="str">
        <x:v>偏空间变化、操作表现和幻想的玩家</x:v>
      </x:c>
      <x:c r="K249" s="52" t="str">
        <x:v>天气互作用采用有限规则，避免全物理模拟</x:v>
      </x:c>
      <x:c r="L249" s="38"/>
      <x:c r="M249" s="38"/>
      <x:c r="N249" s="38"/>
      <x:c r="O249" s="38"/>
      <x:c r="P249" s="38"/>
    </x:row>
    <x:row r="250" ht="45" customHeight="1">
      <x:c r="A250" s="61" t="n">
        <x:v>120</x:v>
      </x:c>
      <x:c r="B250" s="59" t="str">
        <x:v>动作剪辑台</x:v>
      </x:c>
      <x:c r="C250" s="53" t="str">
        <x:v>超能力与奇观</x:v>
      </x:c>
      <x:c r="D250" s="53" t="str">
        <x:v>中</x:v>
      </x:c>
      <x:c r="E250" s="53" t="str">
        <x:v>备选</x:v>
      </x:c>
      <x:c r="F250" s="53" t="str">
        <x:v>剪视频、调顺序、重复播放</x:v>
      </x:c>
      <x:c r="G250" s="53" t="str">
        <x:v>把动作片段排成战斗流程，转场条件决定是否连招</x:v>
      </x:c>
      <x:c r="H250" s="53" t="str">
        <x:v>动作片段、转场、音轨、播放槽</x:v>
      </x:c>
      <x:c r="I250" s="53" t="str">
        <x:v>滑铲接升龙再接空中回放，角色按剪好的片子穿过敌群</x:v>
      </x:c>
      <x:c r="J250" s="53" t="str">
        <x:v>偏空间变化、操作表现和幻想的玩家</x:v>
      </x:c>
      <x:c r="K250" s="53" t="str">
        <x:v>先限制动作集，验证剪辑决策是否清楚</x:v>
      </x:c>
      <x:c r="L250" s="38"/>
      <x:c r="M250" s="38"/>
      <x:c r="N250" s="38"/>
      <x:c r="O250" s="38"/>
      <x:c r="P250" s="38"/>
    </x:row>
    <x:row r="251" ht="18" customHeight="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</x:row>
    <x:row r="252" ht="18" customHeight="1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</x:row>
    <x:row r="253" ht="24.75" customHeight="1">
      <x:c r="A253" s="74" t="str">
        <x:v>原12个重点方案的完整内容</x:v>
      </x:c>
      <x:c r="B253" s="74"/>
      <x:c r="C253" s="74"/>
      <x:c r="D253" s="74"/>
      <x:c r="E253" s="74"/>
      <x:c r="F253" s="74"/>
      <x:c r="G253" s="74"/>
      <x:c r="H253" s="74"/>
      <x:c r="I253" s="74"/>
      <x:c r="J253" s="74"/>
      <x:c r="K253" s="74"/>
      <x:c r="L253" s="74"/>
      <x:c r="M253" s="74"/>
      <x:c r="N253" s="74"/>
      <x:c r="O253" s="74"/>
      <x:c r="P253" s="74"/>
    </x:row>
    <x:row r="254" ht="28.5" customHeight="1">
      <x:c r="A254" s="46" t="str">
        <x:v>原 ID</x:v>
      </x:c>
      <x:c r="B254" s="47" t="str">
        <x:v>原方案</x:v>
      </x:c>
      <x:c r="C254" s="47" t="str">
        <x:v>原设计项</x:v>
      </x:c>
      <x:c r="D254" s="47" t="str">
        <x:v>本轮处理</x:v>
      </x:c>
      <x:c r="E254" s="47" t="str">
        <x:v>本轮位置</x:v>
      </x:c>
      <x:c r="F254" s="48" t="str">
        <x:v>原始详细内容</x:v>
      </x:c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</x:row>
    <x:row r="255" ht="45" customHeight="1">
      <x:c r="A255" s="60" t="n">
        <x:v>41</x:v>
      </x:c>
      <x:c r="B255" s="58" t="str">
        <x:v>小票炼金术</x:v>
      </x:c>
      <x:c r="C255" s="52" t="str">
        <x:v>原优先理由</x:v>
      </x:c>
      <x:c r="D255" s="52" t="str">
        <x:v>合并</x:v>
      </x:c>
      <x:c r="E255" s="52" t="str">
        <x:v>合并</x:v>
      </x:c>
      <x:c r="F255" s="52" t="str">
        <x:v>凑单和用券直接对应条件组合，规则与结果可以同时显示在小票上，适合先验证纯构筑。</x:v>
      </x:c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</x:row>
    <x:row r="256" ht="45" customHeight="1">
      <x:c r="A256" s="61" t="n">
        <x:v>41</x:v>
      </x:c>
      <x:c r="B256" s="59" t="str">
        <x:v>小票炼金术</x:v>
      </x:c>
      <x:c r="C256" s="53" t="str">
        <x:v>原核心循环</x:v>
      </x:c>
      <x:c r="D256" s="53" t="str">
        <x:v>合并</x:v>
      </x:c>
      <x:c r="E256" s="53" t="str">
        <x:v>合并</x:v>
      </x:c>
      <x:c r="F256" s="53" t="str">
        <x:v>每关给预算和采购清单。选购商品、调整标签与券槽，预览后结账。用剩余资源选择下一关的促销能力。</x:v>
      </x:c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</x:row>
    <x:row r="257" ht="57.75" customHeight="1">
      <x:c r="A257" s="60" t="n">
        <x:v>41</x:v>
      </x:c>
      <x:c r="B257" s="58" t="str">
        <x:v>小票炼金术</x:v>
      </x:c>
      <x:c r="C257" s="52" t="str">
        <x:v>原构筑路线</x:v>
      </x:c>
      <x:c r="D257" s="52" t="str">
        <x:v>合并</x:v>
      </x:c>
      <x:c r="E257" s="52" t="str">
        <x:v>合并</x:v>
      </x:c>
      <x:c r="F257" s="52" t="str">
        <x:v>标签流：让一个商品参与多组条件。
次数流：拆分小额商品，增加有限触发次数。
大单流：保留预算集中满足高门槛奖励。</x:v>
      </x:c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</x:row>
    <x:row r="258" ht="57.75" customHeight="1">
      <x:c r="A258" s="61" t="n">
        <x:v>41</x:v>
      </x:c>
      <x:c r="B258" s="59" t="str">
        <x:v>小票炼金术</x:v>
      </x:c>
      <x:c r="C258" s="53" t="str">
        <x:v>原联动示例</x:v>
      </x:c>
      <x:c r="D258" s="53" t="str">
        <x:v>合并</x:v>
      </x:c>
      <x:c r="E258" s="53" t="str">
        <x:v>合并</x:v>
      </x:c>
      <x:c r="F258" s="53" t="str">
        <x:v>酱油获得礼盒标签，满足调料和礼盒两套条件。先触发免运费，再把释放的预算用于补齐家庭套装。每张券每次结算仅触发一次。</x:v>
      </x:c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</x:row>
    <x:row r="259" ht="57.75" customHeight="1">
      <x:c r="A259" s="60" t="n">
        <x:v>41</x:v>
      </x:c>
      <x:c r="B259" s="58" t="str">
        <x:v>小票炼金术</x:v>
      </x:c>
      <x:c r="C259" s="52" t="str">
        <x:v>原最小验证版本</x:v>
      </x:c>
      <x:c r="D259" s="52" t="str">
        <x:v>合并</x:v>
      </x:c>
      <x:c r="E259" s="52" t="str">
        <x:v>合并</x:v>
      </x:c>
      <x:c r="F259" s="52" t="str">
        <x:v>二维界面，12种商品、8张优惠券、3种采购目标、5次结算。验证玩家能否预判连锁，并在相同预算下解释两种不同购物方案。</x:v>
      </x:c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</x:row>
    <x:row r="260" ht="45" customHeight="1">
      <x:c r="A260" s="61" t="n">
        <x:v>41</x:v>
      </x:c>
      <x:c r="B260" s="59" t="str">
        <x:v>小票炼金术</x:v>
      </x:c>
      <x:c r="C260" s="53" t="str">
        <x:v>原关键风险</x:v>
      </x:c>
      <x:c r="D260" s="53" t="str">
        <x:v>合并</x:v>
      </x:c>
      <x:c r="E260" s="53" t="str">
        <x:v>合并</x:v>
      </x:c>
      <x:c r="F260" s="53" t="str">
        <x:v>促销过多会退化成算账。首轮仅用三个条件词与三个结果词，明确显示所有中间结算。</x:v>
      </x:c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</x:row>
    <x:row r="261" ht="45" customHeight="1">
      <x:c r="A261" s="60" t="n">
        <x:v>32</x:v>
      </x:c>
      <x:c r="B261" s="58" t="str">
        <x:v>回转寿司工坊</x:v>
      </x:c>
      <x:c r="C261" s="52" t="str">
        <x:v>原优先理由</x:v>
      </x:c>
      <x:c r="D261" s="52" t="str">
        <x:v>保留深化</x:v>
      </x:c>
      <x:c r="E261" s="52" t="str">
        <x:v>主候选池</x:v>
      </x:c>
      <x:c r="F261" s="52" t="str">
        <x:v>传送带顺序能够把构筑直接演给玩家看，空间与时间组合比纯数值更易展示。</x:v>
      </x:c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</x:row>
    <x:row r="262" ht="45" customHeight="1">
      <x:c r="A262" s="61" t="n">
        <x:v>32</x:v>
      </x:c>
      <x:c r="B262" s="59" t="str">
        <x:v>回转寿司工坊</x:v>
      </x:c>
      <x:c r="C262" s="53" t="str">
        <x:v>原核心循环</x:v>
      </x:c>
      <x:c r="D262" s="53" t="str">
        <x:v>保留深化</x:v>
      </x:c>
      <x:c r="E262" s="53" t="str">
        <x:v>主候选池</x:v>
      </x:c>
      <x:c r="F262" s="53" t="str">
        <x:v>每轮先调整传送带上的厨具与客人，再投入有限原料。传送带运行固定圈数，完成订单后选择新站点或升级。</x:v>
      </x:c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</x:row>
    <x:row r="263" ht="57.75" customHeight="1">
      <x:c r="A263" s="60" t="n">
        <x:v>32</x:v>
      </x:c>
      <x:c r="B263" s="58" t="str">
        <x:v>回转寿司工坊</x:v>
      </x:c>
      <x:c r="C263" s="52" t="str">
        <x:v>原构筑路线</x:v>
      </x:c>
      <x:c r="D263" s="52" t="str">
        <x:v>保留深化</x:v>
      </x:c>
      <x:c r="E263" s="52" t="str">
        <x:v>主候选池</x:v>
      </x:c>
      <x:c r="F263" s="52" t="str">
        <x:v>快售流：尽早完成普通订单，换取更多调整资源。
慢熟流：多绕一圈加工高级料理，承担超时风险。
回收流：空盘与边角料支持下一轮生产。</x:v>
      </x:c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</x:row>
    <x:row r="264" ht="45" customHeight="1">
      <x:c r="A264" s="61" t="n">
        <x:v>32</x:v>
      </x:c>
      <x:c r="B264" s="59" t="str">
        <x:v>回转寿司工坊</x:v>
      </x:c>
      <x:c r="C264" s="53" t="str">
        <x:v>原联动示例</x:v>
      </x:c>
      <x:c r="D264" s="53" t="str">
        <x:v>保留深化</x:v>
      </x:c>
      <x:c r="E264" s="53" t="str">
        <x:v>主候选池</x:v>
      </x:c>
      <x:c r="F264" s="53" t="str">
        <x:v>米饭经过海苔站变寿司，切分站生成两份小盘，两个客人依次取餐。空盘回到回收站，兑换下一轮的原料券。</x:v>
      </x:c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</x:row>
    <x:row r="265" ht="45" customHeight="1">
      <x:c r="A265" s="60" t="n">
        <x:v>32</x:v>
      </x:c>
      <x:c r="B265" s="58" t="str">
        <x:v>回转寿司工坊</x:v>
      </x:c>
      <x:c r="C265" s="52" t="str">
        <x:v>原最小验证版本</x:v>
      </x:c>
      <x:c r="D265" s="52" t="str">
        <x:v>保留深化</x:v>
      </x:c>
      <x:c r="E265" s="52" t="str">
        <x:v>主候选池</x:v>
      </x:c>
      <x:c r="F265" s="52" t="str">
        <x:v>单条环形带，8个站位、6种食材、8个站点、3类顾客。验证站点换序是否明显改变成果，以及玩家能否看懂空盘回收链。</x:v>
      </x:c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</x:row>
    <x:row r="266" ht="45" customHeight="1">
      <x:c r="A266" s="61" t="n">
        <x:v>32</x:v>
      </x:c>
      <x:c r="B266" s="59" t="str">
        <x:v>回转寿司工坊</x:v>
      </x:c>
      <x:c r="C266" s="53" t="str">
        <x:v>原关键风险</x:v>
      </x:c>
      <x:c r="D266" s="53" t="str">
        <x:v>保留深化</x:v>
      </x:c>
      <x:c r="E266" s="53" t="str">
        <x:v>主候选池</x:v>
      </x:c>
      <x:c r="F266" s="53" t="str">
        <x:v>完全自动化后可能无事可做。每轮有限调整次数，顾客需求与运行圈数形成取舍。</x:v>
      </x:c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</x:row>
    <x:row r="267" ht="45" customHeight="1">
      <x:c r="A267" s="60" t="n">
        <x:v>61</x:v>
      </x:c>
      <x:c r="B267" s="58" t="str">
        <x:v>印章办公室</x:v>
      </x:c>
      <x:c r="C267" s="52" t="str">
        <x:v>原优先理由</x:v>
      </x:c>
      <x:c r="D267" s="52" t="str">
        <x:v>暂缓</x:v>
      </x:c>
      <x:c r="E267" s="52" t="str">
        <x:v>暂缓</x:v>
      </x:c>
      <x:c r="F267" s="52" t="str">
        <x:v>盖章动作有直接反馈，审批流程天然容纳有限指令组合，能用小界面验证深度。</x:v>
      </x:c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</x:row>
    <x:row r="268" ht="45" customHeight="1">
      <x:c r="A268" s="61" t="n">
        <x:v>61</x:v>
      </x:c>
      <x:c r="B268" s="59" t="str">
        <x:v>印章办公室</x:v>
      </x:c>
      <x:c r="C268" s="53" t="str">
        <x:v>原核心循环</x:v>
      </x:c>
      <x:c r="D268" s="53" t="str">
        <x:v>暂缓</x:v>
      </x:c>
      <x:c r="E268" s="53" t="str">
        <x:v>暂缓</x:v>
      </x:c>
      <x:c r="F268" s="53" t="str">
        <x:v>每轮接到有限文件，设置部门与印章顺序，用墨水执行流程。完成不同标签的申请需求后，选择新印章。</x:v>
      </x:c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</x:row>
    <x:row r="269" ht="57.75" customHeight="1">
      <x:c r="A269" s="60" t="n">
        <x:v>61</x:v>
      </x:c>
      <x:c r="B269" s="58" t="str">
        <x:v>印章办公室</x:v>
      </x:c>
      <x:c r="C269" s="52" t="str">
        <x:v>原构筑路线</x:v>
      </x:c>
      <x:c r="D269" s="52" t="str">
        <x:v>暂缓</x:v>
      </x:c>
      <x:c r="E269" s="52" t="str">
        <x:v>暂缓</x:v>
      </x:c>
      <x:c r="F269" s="52" t="str">
        <x:v>批量流：复制文件处理多个需求。
精加工流：把多个标签合并到一份高价值文件。
延迟流：存储文件，等下一轮优惠或关键印章。</x:v>
      </x:c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</x:row>
    <x:row r="270" ht="45" customHeight="1">
      <x:c r="A270" s="61" t="n">
        <x:v>61</x:v>
      </x:c>
      <x:c r="B270" s="59" t="str">
        <x:v>印章办公室</x:v>
      </x:c>
      <x:c r="C270" s="53" t="str">
        <x:v>原联动示例</x:v>
      </x:c>
      <x:c r="D270" s="53" t="str">
        <x:v>暂缓</x:v>
      </x:c>
      <x:c r="E270" s="53" t="str">
        <x:v>暂缓</x:v>
      </x:c>
      <x:c r="F270" s="53" t="str">
        <x:v>申请先分成三份，各自盖条件章，再合并为一份合规文件。合并可返还一次墨水，但同一文件不能重复领取。</x:v>
      </x:c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</x:row>
    <x:row r="271" ht="45" customHeight="1">
      <x:c r="A271" s="60" t="n">
        <x:v>61</x:v>
      </x:c>
      <x:c r="B271" s="58" t="str">
        <x:v>印章办公室</x:v>
      </x:c>
      <x:c r="C271" s="52" t="str">
        <x:v>原最小验证版本</x:v>
      </x:c>
      <x:c r="D271" s="52" t="str">
        <x:v>暂缓</x:v>
      </x:c>
      <x:c r="E271" s="52" t="str">
        <x:v>暂缓</x:v>
      </x:c>
      <x:c r="F271" s="52" t="str">
        <x:v>三个部门、八枚印章、四种文件标签、五轮任务。验证玩家能否自己组出两种流程，并追溯每枚章的贡献。</x:v>
      </x:c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</x:row>
    <x:row r="272" ht="45" customHeight="1">
      <x:c r="A272" s="61" t="n">
        <x:v>61</x:v>
      </x:c>
      <x:c r="B272" s="59" t="str">
        <x:v>印章办公室</x:v>
      </x:c>
      <x:c r="C272" s="53" t="str">
        <x:v>原关键风险</x:v>
      </x:c>
      <x:c r="D272" s="53" t="str">
        <x:v>暂缓</x:v>
      </x:c>
      <x:c r="E272" s="53" t="str">
        <x:v>暂缓</x:v>
      </x:c>
      <x:c r="F272" s="53" t="str">
        <x:v>不要把复杂审批原样搬来。单章只做一件事，限制文件数量和每轮执行次数。</x:v>
      </x:c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</x:row>
    <x:row r="273" ht="45" customHeight="1">
      <x:c r="A273" s="60" t="n">
        <x:v>13</x:v>
      </x:c>
      <x:c r="B273" s="58" t="str">
        <x:v>套圈套出世界</x:v>
      </x:c>
      <x:c r="C273" s="52" t="str">
        <x:v>原优先理由</x:v>
      </x:c>
      <x:c r="D273" s="52" t="str">
        <x:v>保留深化</x:v>
      </x:c>
      <x:c r="E273" s="52" t="str">
        <x:v>主候选池</x:v>
      </x:c>
      <x:c r="F273" s="52" t="str">
        <x:v>投圈的落点和奖品的反馈都直观，奖品可兑现或改造场地形成明确取舍。</x:v>
      </x:c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</x:row>
    <x:row r="274" ht="45" customHeight="1">
      <x:c r="A274" s="61" t="n">
        <x:v>13</x:v>
      </x:c>
      <x:c r="B274" s="59" t="str">
        <x:v>套圈套出世界</x:v>
      </x:c>
      <x:c r="C274" s="53" t="str">
        <x:v>原核心循环</x:v>
      </x:c>
      <x:c r="D274" s="53" t="str">
        <x:v>保留深化</x:v>
      </x:c>
      <x:c r="E274" s="53" t="str">
        <x:v>主候选池</x:v>
      </x:c>
      <x:c r="F274" s="53" t="str">
        <x:v>每轮投有限个圈。套中奖品后选择兑现分数，或留在场上成为机关。轮间选新圈材质或调整陈列。</x:v>
      </x:c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</x:row>
    <x:row r="275" ht="57.75" customHeight="1">
      <x:c r="A275" s="60" t="n">
        <x:v>13</x:v>
      </x:c>
      <x:c r="B275" s="58" t="str">
        <x:v>套圈套出世界</x:v>
      </x:c>
      <x:c r="C275" s="52" t="str">
        <x:v>原构筑路线</x:v>
      </x:c>
      <x:c r="D275" s="52" t="str">
        <x:v>保留深化</x:v>
      </x:c>
      <x:c r="E275" s="52" t="str">
        <x:v>主候选池</x:v>
      </x:c>
      <x:c r="F275" s="52" t="str">
        <x:v>稳投流：大圈与可控回弹。
连套流：复制、分叉与连挂。
场地流：用风扇、滑轨和磁铁改变后续投掷。</x:v>
      </x:c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</x:row>
    <x:row r="276" ht="45" customHeight="1">
      <x:c r="A276" s="61" t="n">
        <x:v>13</x:v>
      </x:c>
      <x:c r="B276" s="59" t="str">
        <x:v>套圈套出世界</x:v>
      </x:c>
      <x:c r="C276" s="53" t="str">
        <x:v>原联动示例</x:v>
      </x:c>
      <x:c r="D276" s="53" t="str">
        <x:v>保留深化</x:v>
      </x:c>
      <x:c r="E276" s="53" t="str">
        <x:v>主候选池</x:v>
      </x:c>
      <x:c r="F276" s="53" t="str">
        <x:v>先套中风扇与镜面机关并留场，把它们排成通道。下一圈经风扇转向，在镜面处消耗能量分成两圈。</x:v>
      </x:c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</x:row>
    <x:row r="277" ht="45" customHeight="1">
      <x:c r="A277" s="60" t="n">
        <x:v>13</x:v>
      </x:c>
      <x:c r="B277" s="58" t="str">
        <x:v>套圈套出世界</x:v>
      </x:c>
      <x:c r="C277" s="52" t="str">
        <x:v>原最小验证版本</x:v>
      </x:c>
      <x:c r="D277" s="52" t="str">
        <x:v>保留深化</x:v>
      </x:c>
      <x:c r="E277" s="52" t="str">
        <x:v>主候选池</x:v>
      </x:c>
      <x:c r="F277" s="52" t="str">
        <x:v>二维侧视，三种圈、六件机关奖品、三个场地。验证落点是否能练习改善，以及留场是否值得牺牲本轮得分。</x:v>
      </x:c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</x:row>
    <x:row r="278" ht="45" customHeight="1">
      <x:c r="A278" s="61" t="n">
        <x:v>13</x:v>
      </x:c>
      <x:c r="B278" s="59" t="str">
        <x:v>套圈套出世界</x:v>
      </x:c>
      <x:c r="C278" s="53" t="str">
        <x:v>原关键风险</x:v>
      </x:c>
      <x:c r="D278" s="53" t="str">
        <x:v>保留深化</x:v>
      </x:c>
      <x:c r="E278" s="53" t="str">
        <x:v>主候选池</x:v>
      </x:c>
      <x:c r="F278" s="53" t="str">
        <x:v>不能用不透明的抓取概率决定结果。优先稳定抛物线、碰撞与清晰的扰动预告。</x:v>
      </x:c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</x:row>
    <x:row r="279" ht="45" customHeight="1">
      <x:c r="A279" s="60" t="n">
        <x:v>52</x:v>
      </x:c>
      <x:c r="B279" s="58" t="str">
        <x:v>红袜大作战</x:v>
      </x:c>
      <x:c r="C279" s="52" t="str">
        <x:v>原优先理由</x:v>
      </x:c>
      <x:c r="D279" s="52" t="str">
        <x:v>合并</x:v>
      </x:c>
      <x:c r="E279" s="52" t="str">
        <x:v>合并</x:v>
      </x:c>
      <x:c r="F279" s="52" t="str">
        <x:v>把串色与缩水反转成主动工具，生活经验直接服务于机制理解，外观变化能表现成长。</x:v>
      </x:c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</x:row>
    <x:row r="280" ht="45" customHeight="1">
      <x:c r="A280" s="61" t="n">
        <x:v>52</x:v>
      </x:c>
      <x:c r="B280" s="59" t="str">
        <x:v>红袜大作战</x:v>
      </x:c>
      <x:c r="C280" s="53" t="str">
        <x:v>原核心循环</x:v>
      </x:c>
      <x:c r="D280" s="53" t="str">
        <x:v>合并</x:v>
      </x:c>
      <x:c r="E280" s="53" t="str">
        <x:v>合并</x:v>
      </x:c>
      <x:c r="F280" s="53" t="str">
        <x:v>接到颜色与材质要求各异的订单，选择衣物、洗剂与洗程。结算染色、缩水、连接效果，再保留部分组件进入下一轮。</x:v>
      </x:c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</x:row>
    <x:row r="281" ht="57.75" customHeight="1">
      <x:c r="A281" s="60" t="n">
        <x:v>52</x:v>
      </x:c>
      <x:c r="B281" s="58" t="str">
        <x:v>红袜大作战</x:v>
      </x:c>
      <x:c r="C281" s="52" t="str">
        <x:v>原构筑路线</x:v>
      </x:c>
      <x:c r="D281" s="52" t="str">
        <x:v>合并</x:v>
      </x:c>
      <x:c r="E281" s="52" t="str">
        <x:v>合并</x:v>
      </x:c>
      <x:c r="F281" s="52" t="str">
        <x:v>染色流：用少量主色转移能力。
材质流：利用不同衣料承受不同洗程。
混搭流：保留多色以满足更复杂的互补条件。</x:v>
      </x:c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</x:row>
    <x:row r="282" ht="45" customHeight="1">
      <x:c r="A282" s="61" t="n">
        <x:v>52</x:v>
      </x:c>
      <x:c r="B282" s="59" t="str">
        <x:v>红袜大作战</x:v>
      </x:c>
      <x:c r="C282" s="53" t="str">
        <x:v>原联动示例</x:v>
      </x:c>
      <x:c r="D282" s="53" t="str">
        <x:v>合并</x:v>
      </x:c>
      <x:c r="E282" s="53" t="str">
        <x:v>合并</x:v>
      </x:c>
      <x:c r="F282" s="53" t="str">
        <x:v>红袜先染出一批增幅衣，柔顺剂让相邻衣物共享一次效果，缩水洗程腾出格子装入最后一件配套服装。</x:v>
      </x:c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</x:row>
    <x:row r="283" ht="45" customHeight="1">
      <x:c r="A283" s="60" t="n">
        <x:v>52</x:v>
      </x:c>
      <x:c r="B283" s="58" t="str">
        <x:v>红袜大作战</x:v>
      </x:c>
      <x:c r="C283" s="52" t="str">
        <x:v>原最小验证版本</x:v>
      </x:c>
      <x:c r="D283" s="52" t="str">
        <x:v>合并</x:v>
      </x:c>
      <x:c r="E283" s="52" t="str">
        <x:v>合并</x:v>
      </x:c>
      <x:c r="F283" s="52" t="str">
        <x:v>八件衣物、三种颜色、三种材质、四种洗程、三类订单。验证同一桶衣服是否存在不同但合理的洗法。</x:v>
      </x:c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</x:row>
    <x:row r="284" ht="45" customHeight="1">
      <x:c r="A284" s="61" t="n">
        <x:v>52</x:v>
      </x:c>
      <x:c r="B284" s="59" t="str">
        <x:v>红袜大作战</x:v>
      </x:c>
      <x:c r="C284" s="53" t="str">
        <x:v>原关键风险</x:v>
      </x:c>
      <x:c r="D284" s="53" t="str">
        <x:v>合并</x:v>
      </x:c>
      <x:c r="E284" s="53" t="str">
        <x:v>合并</x:v>
      </x:c>
      <x:c r="F284" s="53" t="str">
        <x:v>全染红不能始终最优。订单、耐受度与混色奖励共同约束染色路线。</x:v>
      </x:c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</x:row>
    <x:row r="285" ht="45" customHeight="1">
      <x:c r="A285" s="60" t="n">
        <x:v>27</x:v>
      </x:c>
      <x:c r="B285" s="58" t="str">
        <x:v>贪吃蛇孵化场</x:v>
      </x:c>
      <x:c r="C285" s="52" t="str">
        <x:v>原优先理由</x:v>
      </x:c>
      <x:c r="D285" s="52" t="str">
        <x:v>保留深化</x:v>
      </x:c>
      <x:c r="E285" s="52" t="str">
        <x:v>主候选池</x:v>
      </x:c>
      <x:c r="F285" s="52" t="str">
        <x:v>长度既是力量又是可分配身体，主动断尾给熟悉贪吃蛇增加清楚的战略选择。</x:v>
      </x:c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</x:row>
    <x:row r="286" ht="45" customHeight="1">
      <x:c r="A286" s="61" t="n">
        <x:v>27</x:v>
      </x:c>
      <x:c r="B286" s="59" t="str">
        <x:v>贪吃蛇孵化场</x:v>
      </x:c>
      <x:c r="C286" s="53" t="str">
        <x:v>原核心循环</x:v>
      </x:c>
      <x:c r="D286" s="53" t="str">
        <x:v>保留深化</x:v>
      </x:c>
      <x:c r="E286" s="53" t="str">
        <x:v>主候选池</x:v>
      </x:c>
      <x:c r="F286" s="53" t="str">
        <x:v>收集资源获得身体模块，在安全点决定保留长度或断尾孵化。小蛇按功能采集、防守或回收，完成阶段目标后补充模块。</x:v>
      </x:c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</x:row>
    <x:row r="287" ht="57.75" customHeight="1">
      <x:c r="A287" s="60" t="n">
        <x:v>27</x:v>
      </x:c>
      <x:c r="B287" s="58" t="str">
        <x:v>贪吃蛇孵化场</x:v>
      </x:c>
      <x:c r="C287" s="52" t="str">
        <x:v>原构筑路线</x:v>
      </x:c>
      <x:c r="D287" s="52" t="str">
        <x:v>保留深化</x:v>
      </x:c>
      <x:c r="E287" s="52" t="str">
        <x:v>主候选池</x:v>
      </x:c>
      <x:c r="F287" s="52" t="str">
        <x:v>长体流：保留身体获得更强主蛇。
蜂群流：分裂成多个短蛇分头工作。
循环流：小蛇完成任务后回收模块再组合。</x:v>
      </x:c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</x:row>
    <x:row r="288" ht="45" customHeight="1">
      <x:c r="A288" s="61" t="n">
        <x:v>27</x:v>
      </x:c>
      <x:c r="B288" s="59" t="str">
        <x:v>贪吃蛇孵化场</x:v>
      </x:c>
      <x:c r="C288" s="53" t="str">
        <x:v>原联动示例</x:v>
      </x:c>
      <x:c r="D288" s="53" t="str">
        <x:v>保留深化</x:v>
      </x:c>
      <x:c r="E288" s="53" t="str">
        <x:v>主候选池</x:v>
      </x:c>
      <x:c r="F288" s="53" t="str">
        <x:v>把尾部三组采集模块分别孵化，三条小蛇同时运回资源。主蛇接收资源后补出防御段迎接下一波。</x:v>
      </x:c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</x:row>
    <x:row r="289" ht="45" customHeight="1">
      <x:c r="A289" s="60" t="n">
        <x:v>27</x:v>
      </x:c>
      <x:c r="B289" s="58" t="str">
        <x:v>贪吃蛇孵化场</x:v>
      </x:c>
      <x:c r="C289" s="52" t="str">
        <x:v>原最小验证版本</x:v>
      </x:c>
      <x:c r="D289" s="52" t="str">
        <x:v>保留深化</x:v>
      </x:c>
      <x:c r="E289" s="52" t="str">
        <x:v>主候选池</x:v>
      </x:c>
      <x:c r="F289" s="52" t="str">
        <x:v>单屏地图、六种身体节、三种小蛇行为、三种障碍。验证分裂前后是否改变路线选择，避免纯粹增加自动单位。</x:v>
      </x:c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</x:row>
    <x:row r="290" ht="45" customHeight="1">
      <x:c r="A290" s="61" t="n">
        <x:v>27</x:v>
      </x:c>
      <x:c r="B290" s="59" t="str">
        <x:v>贪吃蛇孵化场</x:v>
      </x:c>
      <x:c r="C290" s="53" t="str">
        <x:v>原关键风险</x:v>
      </x:c>
      <x:c r="D290" s="53" t="str">
        <x:v>保留深化</x:v>
      </x:c>
      <x:c r="E290" s="53" t="str">
        <x:v>主候选池</x:v>
      </x:c>
      <x:c r="F290" s="53" t="str">
        <x:v>小蛇太多会失去因果可读性。限制分裂名额，并让主蛇承担容量与生存代价。</x:v>
      </x:c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</x:row>
    <x:row r="291" ht="45" customHeight="1">
      <x:c r="A291" s="60" t="n">
        <x:v>81</x:v>
      </x:c>
      <x:c r="B291" s="58" t="str">
        <x:v>排队连锁店</x:v>
      </x:c>
      <x:c r="C291" s="52" t="str">
        <x:v>原优先理由</x:v>
      </x:c>
      <x:c r="D291" s="52" t="str">
        <x:v>保留深化</x:v>
      </x:c>
      <x:c r="E291" s="52" t="str">
        <x:v>主候选池</x:v>
      </x:c>
      <x:c r="F291" s="52" t="str">
        <x:v>队列变化是一条天然可读的顺序系统，可以把等待变成主动布置。</x:v>
      </x:c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</x:row>
    <x:row r="292" ht="45" customHeight="1">
      <x:c r="A292" s="61" t="n">
        <x:v>81</x:v>
      </x:c>
      <x:c r="B292" s="59" t="str">
        <x:v>排队连锁店</x:v>
      </x:c>
      <x:c r="C292" s="53" t="str">
        <x:v>原核心循环</x:v>
      </x:c>
      <x:c r="D292" s="53" t="str">
        <x:v>保留深化</x:v>
      </x:c>
      <x:c r="E292" s="53" t="str">
        <x:v>主候选池</x:v>
      </x:c>
      <x:c r="F292" s="53" t="str">
        <x:v>顾客带预告需求进入队尾。每轮用有限换位次数与服务资源调整队列，服务完成后结算入队、离队和邻座效果。</x:v>
      </x:c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</x:row>
    <x:row r="293" ht="57.75" customHeight="1">
      <x:c r="A293" s="60" t="n">
        <x:v>81</x:v>
      </x:c>
      <x:c r="B293" s="58" t="str">
        <x:v>排队连锁店</x:v>
      </x:c>
      <x:c r="C293" s="52" t="str">
        <x:v>原构筑路线</x:v>
      </x:c>
      <x:c r="D293" s="52" t="str">
        <x:v>保留深化</x:v>
      </x:c>
      <x:c r="E293" s="52" t="str">
        <x:v>主候选池</x:v>
      </x:c>
      <x:c r="F293" s="52" t="str">
        <x:v>快进快出流：高频服务带动小奖励。
耐心积累流：让可等待的顾客积累价值。
成组流：把兼容需求的顾客编成连续服务段。</x:v>
      </x:c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</x:row>
    <x:row r="294" ht="45" customHeight="1">
      <x:c r="A294" s="61" t="n">
        <x:v>81</x:v>
      </x:c>
      <x:c r="B294" s="59" t="str">
        <x:v>排队连锁店</x:v>
      </x:c>
      <x:c r="C294" s="53" t="str">
        <x:v>原联动示例</x:v>
      </x:c>
      <x:c r="D294" s="53" t="str">
        <x:v>保留深化</x:v>
      </x:c>
      <x:c r="E294" s="53" t="str">
        <x:v>主候选池</x:v>
      </x:c>
      <x:c r="F294" s="53" t="str">
        <x:v>准备员离队为下一位节省准备时间，下一位完成后把空出的资源传给后面两人，连续完成整段队伍。</x:v>
      </x:c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</x:row>
    <x:row r="295" ht="45" customHeight="1">
      <x:c r="A295" s="60" t="n">
        <x:v>81</x:v>
      </x:c>
      <x:c r="B295" s="58" t="str">
        <x:v>排队连锁店</x:v>
      </x:c>
      <x:c r="C295" s="52" t="str">
        <x:v>原最小验证版本</x:v>
      </x:c>
      <x:c r="D295" s="52" t="str">
        <x:v>保留深化</x:v>
      </x:c>
      <x:c r="E295" s="52" t="str">
        <x:v>主候选池</x:v>
      </x:c>
      <x:c r="F295" s="52" t="str">
        <x:v>六类顾客、两个窗口、四种换位工具、六轮营业。验证顾客换位是否改变解法，以及不换位时仍有合理保底策略。</x:v>
      </x:c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</x:row>
    <x:row r="296" ht="45" customHeight="1">
      <x:c r="A296" s="61" t="n">
        <x:v>81</x:v>
      </x:c>
      <x:c r="B296" s="59" t="str">
        <x:v>排队连锁店</x:v>
      </x:c>
      <x:c r="C296" s="53" t="str">
        <x:v>原关键风险</x:v>
      </x:c>
      <x:c r="D296" s="53" t="str">
        <x:v>保留深化</x:v>
      </x:c>
      <x:c r="E296" s="53" t="str">
        <x:v>主候选池</x:v>
      </x:c>
      <x:c r="F296" s="53" t="str">
        <x:v>不能只有排序唯一答案。加入可见的不同目标和有限但可交易的调整资源。</x:v>
      </x:c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</x:row>
    <x:row r="297" ht="45" customHeight="1">
      <x:c r="A297" s="60" t="n">
        <x:v>108</x:v>
      </x:c>
      <x:c r="B297" s="58" t="str">
        <x:v>春联改命</x:v>
      </x:c>
      <x:c r="C297" s="52" t="str">
        <x:v>原优先理由</x:v>
      </x:c>
      <x:c r="D297" s="52" t="str">
        <x:v>合并</x:v>
      </x:c>
      <x:c r="E297" s="52" t="str">
        <x:v>合并</x:v>
      </x:c>
      <x:c r="F297" s="52" t="str">
        <x:v>春联的上联、下联、横批可映射为条件、结果和范围，符号与功能关系紧密。</x:v>
      </x:c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</x:row>
    <x:row r="298" ht="45" customHeight="1">
      <x:c r="A298" s="61" t="n">
        <x:v>108</x:v>
      </x:c>
      <x:c r="B298" s="59" t="str">
        <x:v>春联改命</x:v>
      </x:c>
      <x:c r="C298" s="53" t="str">
        <x:v>原核心循环</x:v>
      </x:c>
      <x:c r="D298" s="53" t="str">
        <x:v>合并</x:v>
      </x:c>
      <x:c r="E298" s="53" t="str">
        <x:v>合并</x:v>
      </x:c>
      <x:c r="F298" s="53" t="str">
        <x:v>经营四间年节小屋。选择来客、开饭、放炮等事件，为门位装配条件上联、效果下联和修饰横批，结算后替换词条。</x:v>
      </x:c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</x:row>
    <x:row r="299" ht="57.75" customHeight="1">
      <x:c r="A299" s="60" t="n">
        <x:v>108</x:v>
      </x:c>
      <x:c r="B299" s="58" t="str">
        <x:v>春联改命</x:v>
      </x:c>
      <x:c r="C299" s="52" t="str">
        <x:v>原构筑路线</x:v>
      </x:c>
      <x:c r="D299" s="52" t="str">
        <x:v>合并</x:v>
      </x:c>
      <x:c r="E299" s="52" t="str">
        <x:v>合并</x:v>
      </x:c>
      <x:c r="F299" s="52" t="str">
        <x:v>迎客流：多次开门连锁添福。
聚财流：保留铜钱，以结余换福。
爆竹流：消耗铜钱与炮仗集中爆发。</x:v>
      </x:c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</x:row>
    <x:row r="300" ht="45" customHeight="1">
      <x:c r="A300" s="61" t="n">
        <x:v>108</x:v>
      </x:c>
      <x:c r="B300" s="59" t="str">
        <x:v>春联改命</x:v>
      </x:c>
      <x:c r="C300" s="53" t="str">
        <x:v>原联动示例</x:v>
      </x:c>
      <x:c r="D300" s="53" t="str">
        <x:v>合并</x:v>
      </x:c>
      <x:c r="E300" s="53" t="str">
        <x:v>合并</x:v>
      </x:c>
      <x:c r="F300" s="53" t="str">
        <x:v>迎客得钱，钱购炮仗，炮声吸引邻客，一次来客带动四间屋。每位客人每轮只能被吸引一次。</x:v>
      </x:c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</x:row>
    <x:row r="301" ht="57.75" customHeight="1">
      <x:c r="A301" s="60" t="n">
        <x:v>108</x:v>
      </x:c>
      <x:c r="B301" s="58" t="str">
        <x:v>春联改命</x:v>
      </x:c>
      <x:c r="C301" s="52" t="str">
        <x:v>原最小验证版本</x:v>
      </x:c>
      <x:c r="D301" s="52" t="str">
        <x:v>合并</x:v>
      </x:c>
      <x:c r="E301" s="52" t="str">
        <x:v>合并</x:v>
      </x:c>
      <x:c r="F301" s="52" t="str">
        <x:v>二维四扇门，四个条件、六个结果、三个横批、六轮目标。验证不用额外说明也能读懂规则，以及至少两种组合能完成普通关。</x:v>
      </x:c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</x:row>
    <x:row r="302" ht="45" customHeight="1">
      <x:c r="A302" s="61" t="n">
        <x:v>108</x:v>
      </x:c>
      <x:c r="B302" s="59" t="str">
        <x:v>春联改命</x:v>
      </x:c>
      <x:c r="C302" s="53" t="str">
        <x:v>原关键风险</x:v>
      </x:c>
      <x:c r="D302" s="53" t="str">
        <x:v>合并</x:v>
      </x:c>
      <x:c r="E302" s="53" t="str">
        <x:v>合并</x:v>
      </x:c>
      <x:c r="F302" s="53" t="str">
        <x:v>文化熟悉度有地域边界。使用固定语法与小词库，避免任意自然语言承诺。</x:v>
      </x:c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</x:row>
    <x:row r="303" ht="45" customHeight="1">
      <x:c r="A303" s="60" t="n">
        <x:v>51</x:v>
      </x:c>
      <x:c r="B303" s="58" t="str">
        <x:v>怪物保洁</x:v>
      </x:c>
      <x:c r="C303" s="52" t="str">
        <x:v>原优先理由</x:v>
      </x:c>
      <x:c r="D303" s="52" t="str">
        <x:v>重构</x:v>
      </x:c>
      <x:c r="E303" s="52" t="str">
        <x:v>主候选池</x:v>
      </x:c>
      <x:c r="F303" s="52" t="str">
        <x:v>清除危险同时获得可使用材料，清洁动作、资源构筑与战斗反馈可以连在一起。</x:v>
      </x:c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</x:row>
    <x:row r="304" ht="45" customHeight="1">
      <x:c r="A304" s="61" t="n">
        <x:v>51</x:v>
      </x:c>
      <x:c r="B304" s="59" t="str">
        <x:v>怪物保洁</x:v>
      </x:c>
      <x:c r="C304" s="53" t="str">
        <x:v>原核心循环</x:v>
      </x:c>
      <x:c r="D304" s="53" t="str">
        <x:v>重构</x:v>
      </x:c>
      <x:c r="E304" s="53" t="str">
        <x:v>主候选池</x:v>
      </x:c>
      <x:c r="F304" s="53" t="str">
        <x:v>进入一间鬼屋，吸取污物并选择存储或处理，再用材料清洗、战斗。房间结束后选择工具，决定桶内材料保留顺序。</x:v>
      </x:c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</x:row>
    <x:row r="305" ht="57.75" customHeight="1">
      <x:c r="A305" s="60" t="n">
        <x:v>51</x:v>
      </x:c>
      <x:c r="B305" s="58" t="str">
        <x:v>怪物保洁</x:v>
      </x:c>
      <x:c r="C305" s="52" t="str">
        <x:v>原构筑路线</x:v>
      </x:c>
      <x:c r="D305" s="52" t="str">
        <x:v>重构</x:v>
      </x:c>
      <x:c r="E305" s="52" t="str">
        <x:v>主候选池</x:v>
      </x:c>
      <x:c r="F305" s="52" t="str">
        <x:v>清洗流：扩大泡沫覆盖与溶解。
焚化流：油与火集中清场。
回收流：把垃圾压成电池维持自动设备。</x:v>
      </x:c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</x:row>
    <x:row r="306" ht="45" customHeight="1">
      <x:c r="A306" s="61" t="n">
        <x:v>51</x:v>
      </x:c>
      <x:c r="B306" s="59" t="str">
        <x:v>怪物保洁</x:v>
      </x:c>
      <x:c r="C306" s="53" t="str">
        <x:v>原联动示例</x:v>
      </x:c>
      <x:c r="D306" s="53" t="str">
        <x:v>重构</x:v>
      </x:c>
      <x:c r="E306" s="53" t="str">
        <x:v>主候选池</x:v>
      </x:c>
      <x:c r="F306" s="53" t="str">
        <x:v>先铺水，再释放收集的电污，导电刷头让扫地机拖出移动电网，同时处理污物与敌人。</x:v>
      </x:c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</x:row>
    <x:row r="307" ht="45" customHeight="1">
      <x:c r="A307" s="60" t="n">
        <x:v>51</x:v>
      </x:c>
      <x:c r="B307" s="58" t="str">
        <x:v>怪物保洁</x:v>
      </x:c>
      <x:c r="C307" s="52" t="str">
        <x:v>原最小验证版本</x:v>
      </x:c>
      <x:c r="D307" s="52" t="str">
        <x:v>重构</x:v>
      </x:c>
      <x:c r="E307" s="52" t="str">
        <x:v>主候选池</x:v>
      </x:c>
      <x:c r="F307" s="52" t="str">
        <x:v>二维单房间，水油火电四类幻想材料、三种工具、两种敌人、一种扫地机。验证吸什么和何时喷是否构成选择。</x:v>
      </x:c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</x:row>
    <x:row r="308" ht="45" customHeight="1">
      <x:c r="A308" s="61" t="n">
        <x:v>51</x:v>
      </x:c>
      <x:c r="B308" s="59" t="str">
        <x:v>怪物保洁</x:v>
      </x:c>
      <x:c r="C308" s="53" t="str">
        <x:v>原关键风险</x:v>
      </x:c>
      <x:c r="D308" s="53" t="str">
        <x:v>重构</x:v>
      </x:c>
      <x:c r="E308" s="53" t="str">
        <x:v>主候选池</x:v>
      </x:c>
      <x:c r="F308" s="53" t="str">
        <x:v>桶容量与材料使用应形成代价。先做少量稳定反应，不扩成大而全的元素模拟。</x:v>
      </x:c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</x:row>
    <x:row r="309" ht="45" customHeight="1">
      <x:c r="A309" s="60" t="n">
        <x:v>97</x:v>
      </x:c>
      <x:c r="B309" s="58" t="str">
        <x:v>寄居蟹豪宅</x:v>
      </x:c>
      <x:c r="C309" s="52" t="str">
        <x:v>原优先理由</x:v>
      </x:c>
      <x:c r="D309" s="52" t="str">
        <x:v>重构</x:v>
      </x:c>
      <x:c r="E309" s="52" t="str">
        <x:v>主候选池</x:v>
      </x:c>
      <x:c r="F309" s="52" t="str">
        <x:v>换壳让外观、行动与构筑同时变化，成长结果可以直接成为可展示画面。</x:v>
      </x:c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</x:row>
    <x:row r="310" ht="45" customHeight="1">
      <x:c r="A310" s="61" t="n">
        <x:v>97</x:v>
      </x:c>
      <x:c r="B310" s="59" t="str">
        <x:v>寄居蟹豪宅</x:v>
      </x:c>
      <x:c r="C310" s="53" t="str">
        <x:v>原核心循环</x:v>
      </x:c>
      <x:c r="D310" s="53" t="str">
        <x:v>重构</x:v>
      </x:c>
      <x:c r="E310" s="53" t="str">
        <x:v>主候选池</x:v>
      </x:c>
      <x:c r="F310" s="53" t="str">
        <x:v>退潮时探索、取食和作战。涨潮时回到窝点，从物件中选壳或挂件并重排装备，再挑战下一波潮汐。</x:v>
      </x:c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</x:row>
    <x:row r="311" ht="57.75" customHeight="1">
      <x:c r="A311" s="60" t="n">
        <x:v>97</x:v>
      </x:c>
      <x:c r="B311" s="58" t="str">
        <x:v>寄居蟹豪宅</x:v>
      </x:c>
      <x:c r="C311" s="52" t="str">
        <x:v>原构筑路线</x:v>
      </x:c>
      <x:c r="D311" s="52" t="str">
        <x:v>重构</x:v>
      </x:c>
      <x:c r="E311" s="52" t="str">
        <x:v>主候选池</x:v>
      </x:c>
      <x:c r="F311" s="52" t="str">
        <x:v>重壳流：护甲与冲撞。
轻壳流：机动与背后攻击。
共生流：海葵、藤壶提供持续能力。</x:v>
      </x:c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</x:row>
    <x:row r="312" ht="45" customHeight="1">
      <x:c r="A312" s="61" t="n">
        <x:v>97</x:v>
      </x:c>
      <x:c r="B312" s="59" t="str">
        <x:v>寄居蟹豪宅</x:v>
      </x:c>
      <x:c r="C312" s="53" t="str">
        <x:v>原联动示例</x:v>
      </x:c>
      <x:c r="D312" s="53" t="str">
        <x:v>重构</x:v>
      </x:c>
      <x:c r="E312" s="53" t="str">
        <x:v>主候选池</x:v>
      </x:c>
      <x:c r="F312" s="53" t="str">
        <x:v>旋转壳让冲撞变成旋转，壳边海葵多次接触敌人施加状态，击败带状态敌人返还一次冲刺。</x:v>
      </x:c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</x:row>
    <x:row r="313" ht="45" customHeight="1">
      <x:c r="A313" s="60" t="n">
        <x:v>97</x:v>
      </x:c>
      <x:c r="B313" s="58" t="str">
        <x:v>寄居蟹豪宅</x:v>
      </x:c>
      <x:c r="C313" s="52" t="str">
        <x:v>原最小验证版本</x:v>
      </x:c>
      <x:c r="D313" s="52" t="str">
        <x:v>重构</x:v>
      </x:c>
      <x:c r="E313" s="52" t="str">
        <x:v>主候选池</x:v>
      </x:c>
      <x:c r="F313" s="52" t="str">
        <x:v>二维海滩，三种壳、六种挂件、三种敌人、五波潮汐。验证换壳是否改变行动方式，而不只是加属性。</x:v>
      </x:c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</x:row>
    <x:row r="314" ht="45" customHeight="1">
      <x:c r="A314" s="61" t="n">
        <x:v>97</x:v>
      </x:c>
      <x:c r="B314" s="59" t="str">
        <x:v>寄居蟹豪宅</x:v>
      </x:c>
      <x:c r="C314" s="53" t="str">
        <x:v>原关键风险</x:v>
      </x:c>
      <x:c r="D314" s="53" t="str">
        <x:v>重构</x:v>
      </x:c>
      <x:c r="E314" s="53" t="str">
        <x:v>主候选池</x:v>
      </x:c>
      <x:c r="F314" s="53" t="str">
        <x:v>大壳应装得多但行动慢。食物在恢复和养共生物之间需要取舍。</x:v>
      </x:c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</x:row>
    <x:row r="315" ht="45" customHeight="1">
      <x:c r="A315" s="60" t="n">
        <x:v>71</x:v>
      </x:c>
      <x:c r="B315" s="58" t="str">
        <x:v>电梯重排</x:v>
      </x:c>
      <x:c r="C315" s="52" t="str">
        <x:v>原优先理由</x:v>
      </x:c>
      <x:c r="D315" s="52" t="str">
        <x:v>重构</x:v>
      </x:c>
      <x:c r="E315" s="52" t="str">
        <x:v>主候选池</x:v>
      </x:c>
      <x:c r="F315" s="52" t="str">
        <x:v>电梯载重、停靠和楼层相邻关系都容易理解，移动楼层本身提供明确意外。</x:v>
      </x:c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</x:row>
    <x:row r="316" ht="45" customHeight="1">
      <x:c r="A316" s="61" t="n">
        <x:v>71</x:v>
      </x:c>
      <x:c r="B316" s="59" t="str">
        <x:v>电梯重排</x:v>
      </x:c>
      <x:c r="C316" s="53" t="str">
        <x:v>原核心循环</x:v>
      </x:c>
      <x:c r="D316" s="53" t="str">
        <x:v>重构</x:v>
      </x:c>
      <x:c r="E316" s="53" t="str">
        <x:v>主候选池</x:v>
      </x:c>
      <x:c r="F316" s="53" t="str">
        <x:v>读取下一轮乘客需求，规划停靠，完成送达后获得有限楼层调整机会。楼层以用途卡表示，变动后重新规划路线。</x:v>
      </x:c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</x:row>
    <x:row r="317" ht="57.75" customHeight="1">
      <x:c r="A317" s="60" t="n">
        <x:v>71</x:v>
      </x:c>
      <x:c r="B317" s="58" t="str">
        <x:v>电梯重排</x:v>
      </x:c>
      <x:c r="C317" s="52" t="str">
        <x:v>原构筑路线</x:v>
      </x:c>
      <x:c r="D317" s="52" t="str">
        <x:v>重构</x:v>
      </x:c>
      <x:c r="E317" s="52" t="str">
        <x:v>主候选池</x:v>
      </x:c>
      <x:c r="F317" s="52" t="str">
        <x:v>直达流：减少停靠保住时间。
组合流：同类乘客互相提供收益。
楼层流：重排设施，使连续需求更接近。</x:v>
      </x:c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</x:row>
    <x:row r="318" ht="45" customHeight="1">
      <x:c r="A318" s="61" t="n">
        <x:v>71</x:v>
      </x:c>
      <x:c r="B318" s="59" t="str">
        <x:v>电梯重排</x:v>
      </x:c>
      <x:c r="C318" s="53" t="str">
        <x:v>原联动示例</x:v>
      </x:c>
      <x:c r="D318" s="53" t="str">
        <x:v>重构</x:v>
      </x:c>
      <x:c r="E318" s="53" t="str">
        <x:v>主候选池</x:v>
      </x:c>
      <x:c r="F318" s="53" t="str">
        <x:v>把食堂移到办公区旁，再把商店接在其后，一次顺路行程连续满足几位乘客的不同需求。</x:v>
      </x:c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</x:row>
    <x:row r="319" ht="45" customHeight="1">
      <x:c r="A319" s="60" t="n">
        <x:v>71</x:v>
      </x:c>
      <x:c r="B319" s="58" t="str">
        <x:v>电梯重排</x:v>
      </x:c>
      <x:c r="C319" s="52" t="str">
        <x:v>原最小验证版本</x:v>
      </x:c>
      <x:c r="D319" s="52" t="str">
        <x:v>重构</x:v>
      </x:c>
      <x:c r="E319" s="52" t="str">
        <x:v>主候选池</x:v>
      </x:c>
      <x:c r="F319" s="52" t="str">
        <x:v>六张楼层卡、六类乘客、两种轿厢、五轮需求。验证搬楼层是否产生后续影响，以及未拿到关键卡时有无可行方案。</x:v>
      </x:c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</x:row>
    <x:row r="320" ht="45" customHeight="1">
      <x:c r="A320" s="61" t="n">
        <x:v>71</x:v>
      </x:c>
      <x:c r="B320" s="59" t="str">
        <x:v>电梯重排</x:v>
      </x:c>
      <x:c r="C320" s="53" t="str">
        <x:v>原关键风险</x:v>
      </x:c>
      <x:c r="D320" s="53" t="str">
        <x:v>重构</x:v>
      </x:c>
      <x:c r="E320" s="53" t="str">
        <x:v>主候选池</x:v>
      </x:c>
      <x:c r="F320" s="53" t="str">
        <x:v>每轮仅能少量重排，避免随意换楼层消除全部约束。界面始终展示楼层用途和目标。</x:v>
      </x:c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</x:row>
    <x:row r="321" ht="45" customHeight="1">
      <x:c r="A321" s="60" t="n">
        <x:v>31</x:v>
      </x:c>
      <x:c r="B321" s="58" t="str">
        <x:v>火锅连锁局</x:v>
      </x:c>
      <x:c r="C321" s="52" t="str">
        <x:v>原优先理由</x:v>
      </x:c>
      <x:c r="D321" s="52" t="str">
        <x:v>保留深化</x:v>
      </x:c>
      <x:c r="E321" s="52" t="str">
        <x:v>主候选池</x:v>
      </x:c>
      <x:c r="F321" s="52" t="str">
        <x:v>汤底留下风味、食材继承味道的生活直觉，适合表达能力积累与使用顺序。</x:v>
      </x:c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</x:row>
    <x:row r="322" ht="45" customHeight="1">
      <x:c r="A322" s="61" t="n">
        <x:v>31</x:v>
      </x:c>
      <x:c r="B322" s="59" t="str">
        <x:v>火锅连锁局</x:v>
      </x:c>
      <x:c r="C322" s="53" t="str">
        <x:v>原核心循环</x:v>
      </x:c>
      <x:c r="D322" s="53" t="str">
        <x:v>保留深化</x:v>
      </x:c>
      <x:c r="E322" s="53" t="str">
        <x:v>主候选池</x:v>
      </x:c>
      <x:c r="F322" s="53" t="str">
        <x:v>每轮获得有限食材，按顾客偏好选择下锅、等待、捞取和蘸料。部分风味留在锅底，下轮继续决定保留或换汤。</x:v>
      </x:c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</x:row>
    <x:row r="323" ht="57.75" customHeight="1">
      <x:c r="A323" s="60" t="n">
        <x:v>31</x:v>
      </x:c>
      <x:c r="B323" s="58" t="str">
        <x:v>火锅连锁局</x:v>
      </x:c>
      <x:c r="C323" s="52" t="str">
        <x:v>原构筑路线</x:v>
      </x:c>
      <x:c r="D323" s="52" t="str">
        <x:v>保留深化</x:v>
      </x:c>
      <x:c r="E323" s="52" t="str">
        <x:v>主候选池</x:v>
      </x:c>
      <x:c r="F323" s="52" t="str">
        <x:v>浓汤流：保留风味长期成长。
快涮流：快速完成订单，多拿即时资源。
分锅流：用不同锅格保留互补风味。</x:v>
      </x:c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</x:row>
    <x:row r="324" ht="45" customHeight="1">
      <x:c r="A324" s="61" t="n">
        <x:v>31</x:v>
      </x:c>
      <x:c r="B324" s="59" t="str">
        <x:v>火锅连锁局</x:v>
      </x:c>
      <x:c r="C324" s="53" t="str">
        <x:v>原联动示例</x:v>
      </x:c>
      <x:c r="D324" s="53" t="str">
        <x:v>保留深化</x:v>
      </x:c>
      <x:c r="E324" s="53" t="str">
        <x:v>主候选池</x:v>
      </x:c>
      <x:c r="F324" s="53" t="str">
        <x:v>辣椒提高热量，冻豆腐吸入汤底标签，捞出豆腐再释放一次范围增幅，让邻近食材同时达到目标。</x:v>
      </x:c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</x:row>
    <x:row r="325" ht="45" customHeight="1">
      <x:c r="A325" s="60" t="n">
        <x:v>31</x:v>
      </x:c>
      <x:c r="B325" s="58" t="str">
        <x:v>火锅连锁局</x:v>
      </x:c>
      <x:c r="C325" s="52" t="str">
        <x:v>原最小验证版本</x:v>
      </x:c>
      <x:c r="D325" s="52" t="str">
        <x:v>保留深化</x:v>
      </x:c>
      <x:c r="E325" s="52" t="str">
        <x:v>主候选池</x:v>
      </x:c>
      <x:c r="F325" s="52" t="str">
        <x:v>一个分格锅、八种食材、四种蘸料、三类偏好、五轮订单。验证顺序和捞取时机会改变结果，而非所有食材全下锅。</x:v>
      </x:c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</x:row>
    <x:row r="326" ht="45" customHeight="1">
      <x:c r="A326" s="61" t="n">
        <x:v>31</x:v>
      </x:c>
      <x:c r="B326" s="59" t="str">
        <x:v>火锅连锁局</x:v>
      </x:c>
      <x:c r="C326" s="53" t="str">
        <x:v>原关键风险</x:v>
      </x:c>
      <x:c r="D326" s="53" t="str">
        <x:v>保留深化</x:v>
      </x:c>
      <x:c r="E326" s="53" t="str">
        <x:v>主候选池</x:v>
      </x:c>
      <x:c r="F326" s="53" t="str">
        <x:v>客人偏好和食材耐煮程度约束堆叠。采用有限风味标签，避免复杂料理模拟。</x:v>
      </x:c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</x:row>
  </x:sheetData>
  <x:pageMargins left="0.7" right="0.7" top="0.75" bottom="0.75" header="0.3" footer="0.3"/>
  <x:tableParts count="3">
    <x:tablePart xmlns:r="http://schemas.openxmlformats.org/officeDocument/2006/relationships" r:id="Rd9c039aff67245d3"/>
    <x:tablePart xmlns:r="http://schemas.openxmlformats.org/officeDocument/2006/relationships" r:id="R2062a232db314ced"/>
    <x:tablePart xmlns:r="http://schemas.openxmlformats.org/officeDocument/2006/relationships" r:id="R5382d4ee652e411e"/>
  </x:tableParts>
</x:worksheet>
</file>

<file path=xl/worksheets/sheet4.xml><?xml version="1.0" encoding="utf-8"?>
<x:worksheet xmlns:x="http://schemas.openxmlformats.org/spreadsheetml/2006/main">
  <x:sheetPr>
    <x:tabColor rgb="FF71809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31.110000610351562" hidden="0" customWidth="1"/>
    <x:col min="3" max="3" width="43.33000183105469" hidden="0" customWidth="1"/>
    <x:col min="4" max="4" width="55.560001373291016" hidden="0" customWidth="1"/>
    <x:col min="5" max="5" width="55.560001373291016" hidden="0" customWidth="1"/>
    <x:col min="6" max="6" width="45.560001373291016" hidden="0" customWidth="1"/>
    <x:col min="7" max="7" width="52.220001220703125" hidden="0" customWidth="1"/>
    <x:col min="8" max="8" width="15.5600004196167" hidden="0" customWidth="1"/>
  </x:cols>
  <x:sheetData>
    <x:row r="1" ht="7.5" customHeight="1">
      <x:c r="A1" s="38"/>
      <x:c r="B1" s="38"/>
      <x:c r="C1" s="38"/>
      <x:c r="D1" s="38"/>
      <x:c r="E1" s="38"/>
      <x:c r="F1" s="38"/>
      <x:c r="G1" s="38"/>
      <x:c r="H1" s="38"/>
    </x:row>
    <x:row r="2" ht="25.5" customHeight="1">
      <x:c r="A2" s="40" t="str">
        <x:v>文章要点与复审依据</x:v>
      </x:c>
      <x:c r="B2" s="40"/>
      <x:c r="C2" s="40"/>
      <x:c r="D2" s="40"/>
      <x:c r="E2" s="40"/>
      <x:c r="F2" s="40"/>
      <x:c r="G2" s="77" t="str">
        <x:v>复审日期</x:v>
      </x:c>
      <x:c r="H2" s="78" t="d">
        <x:v>2026-10-09T00:00:00.000Z</x:v>
      </x:c>
    </x:row>
    <x:row r="3" ht="20.25" customHeight="1">
      <x:c r="A3" s="41" t="str">
        <x:v>分开记录作者主张、适用边界和本轮设计判断。原则下方列出研发流程与核对来源。</x:v>
      </x:c>
      <x:c r="B3" s="41"/>
      <x:c r="C3" s="41"/>
      <x:c r="D3" s="41"/>
      <x:c r="E3" s="41"/>
      <x:c r="F3" s="41"/>
      <x:c r="G3" s="41"/>
      <x:c r="H3" s="41"/>
    </x:row>
    <x:row r="4" ht="20.25" customHeight="1">
      <x:c r="A4" s="41" t="str">
        <x:v>原文3.1指开发者持续创作和学习的系统。游戏内仍需清楚目标；设计规则系统的延伸，是让有限规则在玩家选择下持续生成不同局面。</x:v>
      </x:c>
      <x:c r="B4" s="41"/>
      <x:c r="C4" s="41"/>
      <x:c r="D4" s="41"/>
      <x:c r="E4" s="41"/>
      <x:c r="F4" s="41"/>
      <x:c r="G4" s="41"/>
      <x:c r="H4" s="41"/>
    </x:row>
    <x:row r="5" ht="6.75" customHeight="1">
      <x:c r="A5" s="38"/>
      <x:c r="B5" s="38"/>
      <x:c r="C5" s="38"/>
      <x:c r="D5" s="38"/>
      <x:c r="E5" s="38"/>
      <x:c r="F5" s="38"/>
      <x:c r="G5" s="38"/>
      <x:c r="H5" s="38"/>
    </x:row>
    <x:row r="6" ht="28.5" customHeight="1">
      <x:c r="A6" s="46" t="str">
        <x:v>原则 ID</x:v>
      </x:c>
      <x:c r="B6" s="47" t="str">
        <x:v>文章章节</x:v>
      </x:c>
      <x:c r="C6" s="47" t="str">
        <x:v>文章主张</x:v>
      </x:c>
      <x:c r="D6" s="47" t="str">
        <x:v>适用边界</x:v>
      </x:c>
      <x:c r="E6" s="47" t="str">
        <x:v>设计规则</x:v>
      </x:c>
      <x:c r="F6" s="47" t="str">
        <x:v>复审问题</x:v>
      </x:c>
      <x:c r="G6" s="47" t="str">
        <x:v>对本轮方案的影响</x:v>
      </x:c>
      <x:c r="H6" s="48" t="str">
        <x:v>来源 ID</x:v>
      </x:c>
    </x:row>
    <x:row r="7" ht="57.75" customHeight="1">
      <x:c r="A7" s="56" t="str">
        <x:v>P01</x:v>
      </x:c>
      <x:c r="B7" s="58" t="str">
        <x:v>1.1；3.1：建立系统而非只追一个结果</x:v>
      </x:c>
      <x:c r="C7" s="52" t="str">
        <x:v>多年制作、试错和技能积累，可以形成持续改进的创作系统。</x:v>
      </x:c>
      <x:c r="D7" s="52" t="str">
        <x:v>这是开发者的工作方法。目标与系统不必对立；没有验证目标和停做条件，系统可能退化为无限写点子。也不能把个人兴趣开发的经历直接照搬成团队立项流程。</x:v>
      </x:c>
      <x:c r="E7" s="52" t="str">
        <x:v>每个入围方案绑定一个最关键假设、一份小原型、可观察的试玩证据和下一步决策；保留可复用规则、反馈组件及失败结论，使淘汰方案仍能增加团队能力。</x:v>
      </x:c>
      <x:c r="F7" s="52" t="str">
        <x:v>这轮具体要验证什么？结果无论成败，会留下什么可用于下一轮的东西？</x:v>
      </x:c>
      <x:c r="G7" s="52" t="str">
        <x:v>原120项逐一记录去留、修改、范围和验证条件；主池全部标为未实测，首批32/13/51额外绑定关键假设与停止条件。保留实际验证中形成的工具，不先建设适配120项的通用引擎。</x:v>
      </x:c>
      <x:c r="H7" s="52" t="str">
        <x:v>S1、S2</x:v>
      </x:c>
    </x:row>
    <x:row r="8" ht="45" customHeight="1">
      <x:c r="A8" s="57" t="str">
        <x:v>P02</x:v>
      </x:c>
      <x:c r="B8" s="59" t="str">
        <x:v>2.1；2.2：简化验证，把复杂度留给主体验</x:v>
      </x:c>
      <x:c r="C8" s="53" t="str">
        <x:v>小丑牌集中于构筑，通过简单的得分目标压低理解负担。</x:v>
      </x:c>
      <x:c r="D8" s="53" t="str">
        <x:v>目标维度少不代表没有局内决策；去掉敌人也不自动产生构筑深度。3.1的创作系统不能被解释为玩家无需通关、阶段目标或约束。</x:v>
      </x:c>
      <x:c r="E8" s="53" t="str">
        <x:v>分别写清玩家反复做的动作、当前目标、阶段结束与失败条件；将资源约束和奖励围绕主体验组织。额外战斗只有在支持主体验时才加入。</x:v>
      </x:c>
      <x:c r="F8" s="53" t="str">
        <x:v>玩家此刻在操作什么、为什么要这样操作、怎样算这一轮完成，能否在同一界面看懂？</x:v>
      </x:c>
      <x:c r="G8" s="53" t="str">
        <x:v>41并入50采购经济；32以订单和固定步数统一验证；51只做清洁回收；52并入55衣物改造储备，删除未定义用途的火焰套装。</x:v>
      </x:c>
      <x:c r="H8" s="53" t="str">
        <x:v>S4</x:v>
      </x:c>
    </x:row>
    <x:row r="9" ht="57.75" customHeight="1">
      <x:c r="A9" s="56" t="str">
        <x:v>P03</x:v>
      </x:c>
      <x:c r="B9" s="58" t="str">
        <x:v>1.2；3.1：熟悉感、身体感受与灵感</x:v>
      </x:c>
      <x:c r="C9" s="52" t="str">
        <x:v>熟悉的符号和动作降低入口门槛，创作者的强烈感受可以提供灵感。</x:v>
      </x:c>
      <x:c r="D9" s="52" t="str">
        <x:v>熟悉存在人群和文化边界；认识物件不等于熟悉规则，更不等于喜欢重复该劳动。原文未给出可定位研究证明“身体有反应，所以别人也会关心”，不能用具身认知为市场判断背书。</x:v>
      </x:c>
      <x:c r="E9" s="52" t="str">
        <x:v>把熟悉感拆成识别、操作、规则三个层次；按实际目标玩家测试首次理解与第二、第三次操作意愿。创作者直觉用于提出假设，由外部试玩检验。</x:v>
      </x:c>
      <x:c r="F9" s="52" t="str">
        <x:v>目标玩家已经会的是哪一个具体动作或规则？重复三轮后，吸引力还在什么地方？</x:v>
      </x:c>
      <x:c r="G9" s="52" t="str">
        <x:v>41不能将熟悉满减等同于享受算账，61不能将上班经历等同于喜欢审批；108撤回条件程序天然熟悉的承诺；13先验证投掷学习，51先验证清理动作。</x:v>
      </x:c>
      <x:c r="H9" s="52" t="str"/>
    </x:row>
    <x:row r="10" ht="45" customHeight="1">
      <x:c r="A10" s="57" t="str">
        <x:v>P04</x:v>
      </x:c>
      <x:c r="B10" s="59" t="str">
        <x:v>1.2：概念、意外与功能一致</x:v>
      </x:c>
      <x:c r="C10" s="53" t="str">
        <x:v>熟悉媒介中的一次角色变化，可以引起兴趣并提供丰富表现空间。</x:v>
      </x:c>
      <x:c r="D10" s="53" t="str">
        <x:v>“超级概念”是文章的分析术语，不是已经证明的成功定律；题材热度、情绪联想和玩法成立之间仍有缺口。意外太多也可能破坏原有直觉。</x:v>
      </x:c>
      <x:c r="E10" s="53" t="str">
        <x:v>为核心物件定义少量可读的功能关系，让新规则改变动作的后果，而非只换名词；检查每条比喻究竟帮助解释了什么。</x:v>
      </x:c>
      <x:c r="F10" s="53" t="str">
        <x:v>这个题材实际上替玩家省下了哪条说明？反转会改变哪一个持续发生的决策？</x:v>
      </x:c>
      <x:c r="G10" s="53" t="str">
        <x:v>108并101为少量完整春联被动卡；61暂缓，复制合并需独立教学；97转为载物、浮力和潮位改变路线，以动作后果建立意外。</x:v>
      </x:c>
      <x:c r="H10" s="53" t="str">
        <x:v>S2</x:v>
      </x:c>
    </x:row>
    <x:row r="11" ht="73.5" customHeight="1">
      <x:c r="A11" s="56" t="str">
        <x:v>P05</x:v>
      </x:c>
      <x:c r="B11" s="58" t="str">
        <x:v>2.1；2.2：有效构筑、协同与探索</x:v>
      </x:c>
      <x:c r="C11" s="52" t="str">
        <x:v>多种成长层级相互作用，可形成质变与不同构筑体验。</x:v>
      </x:c>
      <x:c r="D11" s="52" t="str">
        <x:v>层数和理论组合数不等于有效深度；预先命名三条流派不能证明它们成立。先想最终流派再等关键件只是某种游玩路径，不宜作为所有构筑的前提。 数值联动也可以有效；只要它改变风险、时机或资源分配，就不应因其表现为加乘而被排除。</x:v>
      </x:c>
      <x:c r="E11" s="52" t="str">
        <x:v>要求新组件能改变其他组件的价值或使用方式；普通资源能支持过渡，关键件缺席时仍有调整空间。先用少量原语验证互动，再扩内容。</x:v>
      </x:c>
      <x:c r="F11" s="52" t="str">
        <x:v>同一组件在两种局面中，为什么会做出不同选择？没有预定关键件时怎样继续？</x:v>
      </x:c>
      <x:c r="G11" s="52" t="str">
        <x:v>32让同一切分站随订单和盘位改变价值；13奖品兑现或留用；51回收材料改变清理顺序。1保留两个走法槽，使更换有真实代价。</x:v>
      </x:c>
      <x:c r="H11" s="52" t="str"/>
    </x:row>
    <x:row r="12" ht="57.75" customHeight="1">
      <x:c r="A12" s="57" t="str">
        <x:v>P06</x:v>
      </x:c>
      <x:c r="B12" s="59" t="str">
        <x:v>2.1；2.2：可选择、经济和风险收益</x:v>
      </x:c>
      <x:c r="C12" s="53" t="str">
        <x:v>奖励选择、经济和多层资源能带来运营取舍。</x:v>
      </x:c>
      <x:c r="D12" s="53" t="str">
        <x:v>有按钮和多个资源不等于有意义选择。若所有局面都执行同一最佳顺序，所谓构筑会退化为照流程领取收益。</x:v>
      </x:c>
      <x:c r="E12" s="53" t="str">
        <x:v>写出每个常用选择的即时收益、机会成本和后续影响；让玩家至少能在当前稳定性、成长潜力和适应能力之间权衡。</x:v>
      </x:c>
      <x:c r="F12" s="53" t="str">
        <x:v>这轮最常做的选择，放弃了什么？下一轮为何可能换一种选法？</x:v>
      </x:c>
      <x:c r="G12" s="53" t="str">
        <x:v>32让卖出、继续加工、保留站位承担互斥代价；61复制文件要占墨水或容量并服务不同任务；51吸取什么、保留什么、喷在哪里须受容量限制；97重量、容积、移动不能全是单向升级。</x:v>
      </x:c>
      <x:c r="H12" s="53" t="str"/>
    </x:row>
    <x:row r="13" ht="57.75" customHeight="1">
      <x:c r="A13" s="56" t="str">
        <x:v>P07</x:v>
      </x:c>
      <x:c r="B13" s="58" t="str">
        <x:v>2.2；2.3：有意义的随机</x:v>
      </x:c>
      <x:c r="C13" s="52" t="str">
        <x:v>随机应同时保留选择、可预期性和惊喜，也能提供高峰体验。</x:v>
      </x:c>
      <x:c r="D13" s="52" t="str">
        <x:v>随机并不等于赌博，也不是越强越有趣；更定向的选择仍可保留不确定性。玩法快感还可能来自调整、发现和熟练掌控，不能用“赌狗”概括所有玩家。</x:v>
      </x:c>
      <x:c r="E13" s="52" t="str">
        <x:v>明确随机发生在何时、哪些信息可见、玩家何时能干预、差结果能否补救。先保证普通开局有可做的决定，再设计少见高峰。</x:v>
      </x:c>
      <x:c r="F13" s="52" t="str">
        <x:v>随机结果出来前后，玩家分别能做什么？坏运气是否只是损失收益，还是直接拿走整局的行动空间？</x:v>
      </x:c>
      <x:c r="G13" s="52" t="str">
        <x:v>41随机商品与券的供给，结账规则保持透明；32随机订单或站点候选但预告当前需求；51可随机房间资源，材料反应先保持稳定；不要用隐藏成功率替代选择。</x:v>
      </x:c>
      <x:c r="H13" s="52" t="str">
        <x:v>S4</x:v>
      </x:c>
    </x:row>
    <x:row r="14" ht="45" customHeight="1">
      <x:c r="A14" s="57" t="str">
        <x:v>P08</x:v>
      </x:c>
      <x:c r="B14" s="59" t="str">
        <x:v>2.1；2.2：成长节奏与质变反馈</x:v>
      </x:c>
      <x:c r="C14" s="53" t="str">
        <x:v>构筑成型和协同爆发是重要爽点，复杂玩法应控制学习成本。</x:v>
      </x:c>
      <x:c r="D14" s="53" t="str">
        <x:v>不能只有最终成型时才好玩；一开始堆满词条又会让新玩家失去因果理解。系统深度与界面上同时呈现的复杂度需要区分。</x:v>
      </x:c>
      <x:c r="E14" s="53" t="str">
        <x:v>安排可用的初始循环、首次改造、首次协同和更大质变；每次加入内容，都让玩家先看见它的作用再承担组合决策。</x:v>
      </x:c>
      <x:c r="F14" s="53" t="str">
        <x:v>前几次选择中，哪一次开始明显改变打法？在大组合未成型时，普通回合靠什么继续有趣？</x:v>
      </x:c>
      <x:c r="G14" s="53" t="str">
        <x:v>32先单站加工再验证切分与回收，13先普通圈再两种机关，51先基础清洁再一枚滤芯。61/108不再作为首批完整条件编程方案。</x:v>
      </x:c>
      <x:c r="H14" s="53" t="str"/>
    </x:row>
    <x:row r="15" ht="57.75" customHeight="1">
      <x:c r="A15" s="56" t="str">
        <x:v>P09</x:v>
      </x:c>
      <x:c r="B15" s="58" t="str">
        <x:v>1.3：统一表达、提示和反馈</x:v>
      </x:c>
      <x:c r="C15" s="52" t="str">
        <x:v>玩法、视听与交互统一，能让操作舒适并清楚表现成长。</x:v>
      </x:c>
      <x:c r="D15" s="52" t="str">
        <x:v>“独游不卷完成度”没有足够市场证据；高完成度也不能由单人制作自动推出。动画和音效不只追求数量，过长结算和多源触发会增加负担。</x:v>
      </x:c>
      <x:c r="E15" s="52" t="str">
        <x:v>建立简短的色彩、图标、语言和反馈规范；对关键选择展示触发来源、顺序、代价与结果；支持追溯、跳过或加速已理解的重复过程。</x:v>
      </x:c>
      <x:c r="F15" s="52" t="str">
        <x:v>看完结果后，玩家能指出是自己哪次选择、哪个组件起了作用吗？</x:v>
      </x:c>
      <x:c r="G15" s="52" t="str">
        <x:v>41逐行显示折扣来源并区分预算和采购目标；32用实物流向显示加工与回收；51需要可辨认的材料反应而非同色粒子叠加；61与108要有短链路可视反馈。</x:v>
      </x:c>
      <x:c r="H15" s="52" t="str">
        <x:v>S1、S2</x:v>
      </x:c>
    </x:row>
    <x:row r="16" ht="45" customHeight="1">
      <x:c r="A16" s="57" t="str">
        <x:v>P10</x:v>
      </x:c>
      <x:c r="B16" s="59" t="str">
        <x:v>1.1；1.3；3.1：能力组合与实现范围</x:v>
      </x:c>
      <x:c r="C16" s="53" t="str">
        <x:v>设计、程序、美术等能力互相配合，可提升迭代效率与表达一致性。</x:v>
      </x:c>
      <x:c r="D16" s="53" t="str">
        <x:v>“每项前25%”是经验性比喻，不能作为成功概率公式；单人全能并非低成本的充分条件。团队也可通过职责、约束和短反馈环实现一致性。</x:v>
      </x:c>
      <x:c r="E16" s="53" t="str">
        <x:v>围绕团队现有长处分配原型，只保留验证主假设必需的实现；给材料组合、对象复制、循环触发和动态几何制定明确边界。</x:v>
      </x:c>
      <x:c r="F16" s="53" t="str">
        <x:v>哪些功能必须现在做才能验证乐趣，哪些只是演示好看？本轮新增的复杂度由谁持续维护？</x:v>
      </x:c>
      <x:c r="G16" s="53" t="str">
        <x:v>51采用离散污物与转换，删除战斗/流体/机器人；97只做完整壳与步行/漂行，113暂缓为独立技术及玩法试验；121–126都明确有限规则。</x:v>
      </x:c>
      <x:c r="H16" s="53" t="str"/>
    </x:row>
    <x:row r="17" ht="73.5" customHeight="1">
      <x:c r="A17" s="56" t="str">
        <x:v>P11</x:v>
      </x:c>
      <x:c r="B17" s="58" t="str">
        <x:v>2.3；3.2：重玩、传播与平台</x:v>
      </x:c>
      <x:c r="C17" s="52" t="str">
        <x:v>低重开代价和种子分享能支持重复游玩与传播；文章预测手游需降低随机挫败。</x:v>
      </x:c>
      <x:c r="D17" s="52" t="str">
        <x:v>种子功能的存在不能证明作者的心理或发行意图；成功截图不能替代常规体验证据。手游不等于免费制；官方移动版本存在，不能继续把“移动化必须降随机”当必要设计结论。移动版本存在本身也不能证明其平衡与PC完全一致。</x:v>
      </x:c>
      <x:c r="E17" s="52" t="str">
        <x:v>控制失败后的重复劳动，给玩家明确的再尝试想法；分享功能可服务复现、讨论和挑战。单独验证触控、时长、存续与商业模式，不凭平台标签调整全部随机性。</x:v>
      </x:c>
      <x:c r="F17" s="52" t="str">
        <x:v>玩家失败后想换一种做法，还是只想重新抽好东西？目标平台和收费方式分别提出了什么真实约束？</x:v>
      </x:c>
      <x:c r="G17" s="52" t="str">
        <x:v>32允许加速已读懂的过程，13失手后快速再投，51快速重进清洁动作；后续分享记录选择和因果。候选不默认免费手游，也不默认所有玩法都必须超短局。</x:v>
      </x:c>
      <x:c r="H17" s="52" t="str">
        <x:v>S3、S4、S5</x:v>
      </x:c>
    </x:row>
    <x:row r="18" ht="73.5" customHeight="1">
      <x:c r="A18" s="57" t="str">
        <x:v>P12</x:v>
      </x:c>
      <x:c r="B18" s="59" t="str">
        <x:v>2.3；3.2：超越类型、证据与差异化</x:v>
      </x:c>
      <x:c r="C18" s="53" t="str">
        <x:v>不要被既有类型束缚，应吸收机制优点并形成自己的体验。</x:v>
      </x:c>
      <x:c r="D18" s="53" t="str">
        <x:v>销量不能证明每个设计都正确；没有现成同类认知不等于原创；新增某种模式也不能单独证明一个团队失去能力。回避竞品是LocalThunk个人创作偏好，不能当成通用创新方法。 先证明可重复选择，再决定是否采用肉鸽结构；技术演示、一次性解谜和局内构筑需要分别验证。</x:v>
      </x:c>
      <x:c r="E18" s="53" t="str">
        <x:v>把“作者事实、文章推断、团队假设、试玩证据”分栏；对入围方案比较最邻近作品的核心动作、约束、成长和反馈；通过预先写明的证据继续、转向或停止。</x:v>
      </x:c>
      <x:c r="F18" s="53" t="str">
        <x:v>相邻作品已经解决了什么？我们的差异改变了哪种决策？什么试玩结果会使我们下调这个方案？</x:v>
      </x:c>
      <x:c r="G18" s="53" t="str">
        <x:v>113补Viewfinder，1补Mate’Morphosis并说明多能力槽与直接变形的差别，97补Another Crab’s Treasure；41、32、51等旧优先项均保留“未验证”状态，不能用本文或Balatro销量给方案背书。</x:v>
      </x:c>
      <x:c r="H18" s="53" t="str">
        <x:v>S1、S6、S7、S8</x:v>
      </x:c>
    </x:row>
    <x:row r="19" ht="18" customHeight="1">
      <x:c r="A19" s="38"/>
      <x:c r="B19" s="38"/>
      <x:c r="C19" s="38"/>
      <x:c r="D19" s="38"/>
      <x:c r="E19" s="38"/>
      <x:c r="F19" s="38"/>
      <x:c r="G19" s="38"/>
      <x:c r="H19" s="38"/>
    </x:row>
    <x:row r="20" ht="24.75" customHeight="1">
      <x:c r="A20" s="74" t="str">
        <x:v>研发验证流程</x:v>
      </x:c>
      <x:c r="B20" s="74"/>
      <x:c r="C20" s="74"/>
      <x:c r="D20" s="74"/>
      <x:c r="E20" s="74"/>
      <x:c r="F20" s="74"/>
      <x:c r="G20" s="74"/>
      <x:c r="H20" s="74"/>
    </x:row>
    <x:row r="21" ht="28.5" customHeight="1">
      <x:c r="A21" s="46" t="str">
        <x:v>步骤</x:v>
      </x:c>
      <x:c r="B21" s="47" t="str">
        <x:v>阶段</x:v>
      </x:c>
      <x:c r="C21" s="47" t="str">
        <x:v>行动</x:v>
      </x:c>
      <x:c r="D21" s="47" t="str">
        <x:v>产物</x:v>
      </x:c>
      <x:c r="E21" s="48" t="str">
        <x:v>进入下一步的条件</x:v>
      </x:c>
      <x:c r="F21" s="38"/>
      <x:c r="G21" s="38"/>
      <x:c r="H21" s="38"/>
    </x:row>
    <x:row r="22" ht="45" customHeight="1">
      <x:c r="A22" s="56" t="n">
        <x:v>1</x:v>
      </x:c>
      <x:c r="B22" s="58" t="str">
        <x:v>提出关键假设</x:v>
      </x:c>
      <x:c r="C22" s="52" t="str">
        <x:v>为一个候选写清核心动作、玩家目标和最不确定的乐趣来源。</x:v>
      </x:c>
      <x:c r="D22" s="52" t="str">
        <x:v>一句可证伪假设及改变方向的条件。</x:v>
      </x:c>
      <x:c r="E22" s="52" t="str">
        <x:v>如果只能描述题材、数字和最终画面，先补循环。</x:v>
      </x:c>
      <x:c r="F22" s="38"/>
      <x:c r="G22" s="38"/>
      <x:c r="H22" s="38"/>
    </x:row>
    <x:row r="23" ht="45" customHeight="1">
      <x:c r="A23" s="57" t="n">
        <x:v>2</x:v>
      </x:c>
      <x:c r="B23" s="59" t="str">
        <x:v>限制规则与制作范围</x:v>
      </x:c>
      <x:c r="C23" s="53" t="str">
        <x:v>列少量状态、输入和通用交互规则，明确本轮不依赖的系统。</x:v>
      </x:c>
      <x:c r="D23" s="53" t="str">
        <x:v>可实现的最小玩法边界及代表性局面。</x:v>
      </x:c>
      <x:c r="E23" s="53" t="str">
        <x:v>新增功能必须直接帮助验证当前假设。</x:v>
      </x:c>
      <x:c r="F23" s="38"/>
      <x:c r="G23" s="38"/>
      <x:c r="H23" s="38"/>
    </x:row>
    <x:row r="24" ht="45" customHeight="1">
      <x:c r="A24" s="56" t="n">
        <x:v>3</x:v>
      </x:c>
      <x:c r="B24" s="58" t="str">
        <x:v>验证基础操作与反馈</x:v>
      </x:c>
      <x:c r="C24" s="52" t="str">
        <x:v>先完成一种可重复操作及其局部视听反馈，让玩家尽早接触。</x:v>
      </x:c>
      <x:c r="D24" s="52" t="str">
        <x:v>操作录像、理解障碍和重复意愿记录。</x:v>
      </x:c>
      <x:c r="E24" s="52" t="str">
        <x:v>基础操作缺乏吸引力时先修动作或停做，不能用大量成长奖励遮盖。</x:v>
      </x:c>
      <x:c r="F24" s="38"/>
      <x:c r="G24" s="38"/>
      <x:c r="H24" s="38"/>
    </x:row>
    <x:row r="25" ht="45" customHeight="1">
      <x:c r="A25" s="57" t="n">
        <x:v>4</x:v>
      </x:c>
      <x:c r="B25" s="59" t="str">
        <x:v>验证交互和取舍</x:v>
      </x:c>
      <x:c r="C25" s="53" t="str">
        <x:v>加入少量会互相改变价值的组件，用不同约束重复游玩，并尝试移除关键规则。</x:v>
      </x:c>
      <x:c r="D25" s="53" t="str">
        <x:v>真实选择、主动转型及失败解释。</x:v>
      </x:c>
      <x:c r="E25" s="53" t="str">
        <x:v>不同局面始终同一解法，或移除联动无影响，需要重构。</x:v>
      </x:c>
      <x:c r="F25" s="38"/>
      <x:c r="G25" s="38"/>
      <x:c r="H25" s="38"/>
    </x:row>
    <x:row r="26" ht="45" customHeight="1">
      <x:c r="A26" s="56" t="n">
        <x:v>5</x:v>
      </x:c>
      <x:c r="B26" s="58" t="str">
        <x:v>验证随机与成长节奏</x:v>
      </x:c>
      <x:c r="C26" s="52" t="str">
        <x:v>在基础循环成立后加入供给变化，观察普通开局、坏结果与早期成长。</x:v>
      </x:c>
      <x:c r="D26" s="52" t="str">
        <x:v>随机前后可干预点、保底路径与首次明显改造。</x:v>
      </x:c>
      <x:c r="E26" s="52" t="str">
        <x:v>玩家只能等关键件或反复刷开局，先调整控制与补救。</x:v>
      </x:c>
      <x:c r="F26" s="38"/>
      <x:c r="G26" s="38"/>
      <x:c r="H26" s="38"/>
    </x:row>
    <x:row r="27" ht="45" customHeight="1">
      <x:c r="A27" s="57" t="n">
        <x:v>6</x:v>
      </x:c>
      <x:c r="B27" s="59" t="str">
        <x:v>做继续、转向或停止决定</x:v>
      </x:c>
      <x:c r="C27" s="53" t="str">
        <x:v>比较同一假设下的观察，记录保留什么、删掉什么以及下一轮只改变的变量。</x:v>
      </x:c>
      <x:c r="D27" s="53" t="str">
        <x:v>更新候选状态、保留可复用代码与失败结论。</x:v>
      </x:c>
      <x:c r="E27" s="53" t="str">
        <x:v>坚持是持续学习，不是对某个点子无限追加成本。</x:v>
      </x:c>
      <x:c r="F27" s="38"/>
      <x:c r="G27" s="38"/>
      <x:c r="H27" s="38"/>
    </x:row>
    <x:row r="28" ht="45" customHeight="1">
      <x:c r="A28" s="56" t="n">
        <x:v>7</x:v>
      </x:c>
      <x:c r="B28" s="58" t="str">
        <x:v>扩内容与验证传播</x:v>
      </x:c>
      <x:c r="C28" s="52" t="str">
        <x:v>把已成立的交互扩成少量内容，再测试短演示、复盘和分享是否让旁观者看懂选择。</x:v>
      </x:c>
      <x:c r="D28" s="52" t="str">
        <x:v>经过验证的组件规范、表现规范及可分享片段。</x:v>
      </x:c>
      <x:c r="E28" s="52" t="str">
        <x:v>内容、平台和商业化依据实际目标分别验证，不预设换皮或上手游必然有效。</x:v>
      </x:c>
      <x:c r="F28" s="38"/>
      <x:c r="G28" s="38"/>
      <x:c r="H28" s="38"/>
    </x:row>
    <x:row r="29" ht="18" customHeight="1">
      <x:c r="A29" s="38"/>
      <x:c r="B29" s="38"/>
      <x:c r="C29" s="38"/>
      <x:c r="D29" s="38"/>
      <x:c r="E29" s="38"/>
      <x:c r="F29" s="38"/>
      <x:c r="G29" s="38"/>
      <x:c r="H29" s="38"/>
    </x:row>
    <x:row r="30" ht="24.75" customHeight="1">
      <x:c r="A30" s="74" t="str">
        <x:v>文章与核对来源</x:v>
      </x:c>
      <x:c r="B30" s="74"/>
      <x:c r="C30" s="74"/>
      <x:c r="D30" s="74"/>
      <x:c r="E30" s="74"/>
      <x:c r="F30" s="74"/>
      <x:c r="G30" s="74"/>
      <x:c r="H30" s="74"/>
    </x:row>
    <x:row r="31" ht="28.5" customHeight="1">
      <x:c r="A31" s="46" t="str">
        <x:v>来源 ID</x:v>
      </x:c>
      <x:c r="B31" s="47" t="str">
        <x:v>名称</x:v>
      </x:c>
      <x:c r="C31" s="47" t="str">
        <x:v>来源类型</x:v>
      </x:c>
      <x:c r="D31" s="47" t="str">
        <x:v>直接支持的事实</x:v>
      </x:c>
      <x:c r="E31" s="47" t="str">
        <x:v>不能据此推出</x:v>
      </x:c>
      <x:c r="F31" s="47" t="str">
        <x:v>原文位置</x:v>
      </x:c>
      <x:c r="G31" s="48" t="str">
        <x:v>链接</x:v>
      </x:c>
      <x:c r="H31" s="38"/>
    </x:row>
    <x:row r="32" ht="45" customHeight="1">
      <x:c r="A32" s="56" t="str">
        <x:v>S0</x:v>
      </x:c>
      <x:c r="B32" s="58" t="str">
        <x:v>从Balatro小丑牌的成功说起：浅谈rogue的核心体验与设计 — Paranoia</x:v>
      </x:c>
      <x:c r="C32" s="52" t="str">
        <x:v>用户提供的分析原文</x:v>
      </x:c>
      <x:c r="D32" s="52" t="str">
        <x:v>本轮待检验的设计启发与经验叙述。</x:v>
      </x:c>
      <x:c r="E32" s="52" t="str">
        <x:v>原文观点并非已证实的成功因果规律，不能以销量为设计正确性的证明。</x:v>
      </x:c>
      <x:c r="F32" s="52" t="str">
        <x:v>1.1–3.2全文</x:v>
      </x:c>
      <x:c r="G32" s="75" t="str">
        <x:v>https://zhuanlan.zhihu.com/p/688748483</x:v>
      </x:c>
      <x:c r="H32" s="38"/>
    </x:row>
    <x:row r="33" ht="57.75" customHeight="1">
      <x:c r="A33" s="57" t="str">
        <x:v>S1</x:v>
      </x:c>
      <x:c r="B33" s="59" t="str">
        <x:v>The Balatro Timeline — LocalThunk</x:v>
      </x:c>
      <x:c r="C33" s="53" t="str">
        <x:v>开发者本人时间线</x:v>
      </x:c>
      <x:c r="D33" s="53" t="str">
        <x:v>早期回避同类是为探索乐趣，并非认为能做出更好游戏；公开Beta后更重玩家反馈；分数火焰来自朋友建议；发布前组织过专门测试小组；还借鉴过尖塔的难度递进系统。</x:v>
      </x:c>
      <x:c r="E33" s="53" t="str">
        <x:v>不能证明拒看竞品更能成功、直觉胜过反馈、单人开发没有沟通成本，或成功是一开始就规划好的。</x:v>
      </x:c>
      <x:c r="F33" s="53" t="str">
        <x:v>2021年12月；2023年3月/5月/9月/10月；2024年2月条目</x:v>
      </x:c>
      <x:c r="G33" s="76" t="str">
        <x:v>https://localthunk.com/blog/balatro-timeline-3aarh</x:v>
      </x:c>
      <x:c r="H33" s="38"/>
    </x:row>
    <x:row r="34" ht="57.75" customHeight="1">
      <x:c r="A34" s="56" t="str">
        <x:v>S2</x:v>
      </x:c>
      <x:c r="B34" s="58" t="str">
        <x:v>There is a lot more design to explore within Balatro — LocalThunk interview</x:v>
      </x:c>
      <x:c r="C34" s="52" t="str">
        <x:v>开发者直接问答，一手访谈</x:v>
      </x:c>
      <x:c r="D34" s="52" t="str">
        <x:v>设计通过反复试错演化；作者喜欢探索点子在系统中的相互作用；美术使用调色板、分辨率、UI和卡组规范约束一致性。</x:v>
      </x:c>
      <x:c r="E34" s="52" t="str">
        <x:v>不证明“超级概念”导致销量或某个设计公式具有普遍因果效力。</x:v>
      </x:c>
      <x:c r="F34" s="52" t="str">
        <x:v>问题When did the idea...；Do you have further ideas...；What was your process for creating the art...</x:v>
      </x:c>
      <x:c r="G34" s="75" t="str">
        <x:v>https://playday.one/2024/03/09/there-is-a-lot-more-design-to-explore-within-balatro/</x:v>
      </x:c>
      <x:c r="H34" s="38"/>
    </x:row>
    <x:row r="35" ht="45" customHeight="1">
      <x:c r="A35" s="57" t="str">
        <x:v>S3</x:v>
      </x:c>
      <x:c r="B35" s="59" t="str">
        <x:v>Balatro Playtest — Update 0.8.7，2023-06-30</x:v>
      </x:c>
      <x:c r="C35" s="53" t="str">
        <x:v>开发者在Steam发布的更新公告（当前可读为公告集合页）</x:v>
      </x:c>
      <x:c r="D35" s="53" t="str">
        <x:v>公告明确新增种子复制、粘贴和种子局显示功能。</x:v>
      </x:c>
      <x:c r="E35" s="53" t="str">
        <x:v>公告未说明这些功能是为了强化赌博心理或传播极端数值，不能据此反推作者意图。</x:v>
      </x:c>
      <x:c r="F35" s="53" t="str">
        <x:v>页面Balatro Playtest的Update 0.8.7段落</x:v>
      </x:c>
      <x:c r="G35" s="76" t="str">
        <x:v>https://store.steampowered.com/news/posts/?enddate=1688188506&amp;feed=steam_community_announcements</x:v>
      </x:c>
      <x:c r="H35" s="38"/>
    </x:row>
    <x:row r="36" ht="45" customHeight="1">
      <x:c r="A36" s="56" t="str">
        <x:v>S4</x:v>
      </x:c>
      <x:c r="B36" s="58" t="str">
        <x:v>Balatro official FAQ</x:v>
      </x:c>
      <x:c r="C36" s="52" t="str">
        <x:v>游戏官方网站</x:v>
      </x:c>
      <x:c r="D36" s="52" t="str">
        <x:v>官方规则有逐轮得分、Boss限制和常规流程第8底注目标，也有解锁、挑战等更长期目标；官方确认移动平台存在。</x:v>
      </x:c>
      <x:c r="E36" s="52" t="str">
        <x:v>不证明任一种目标结构适合全部肉鸽，也不证明移动端与PC的全部平衡完全相同。</x:v>
      </x:c>
      <x:c r="F36" s="52" t="str">
        <x:v>How do I play Balatro?；How can I complete the game?；移动平台相关问答</x:v>
      </x:c>
      <x:c r="G36" s="75" t="str">
        <x:v>https://www.playbalatro.com/faq</x:v>
      </x:c>
      <x:c r="H36" s="38"/>
    </x:row>
    <x:row r="37" ht="45" customHeight="1">
      <x:c r="A37" s="57" t="str">
        <x:v>S5</x:v>
      </x:c>
      <x:c r="B37" s="59" t="str">
        <x:v>Balatro — official mobile app listing</x:v>
      </x:c>
      <x:c r="C37" s="53" t="str">
        <x:v>Playstack发布的App Store官方商品页</x:v>
      </x:c>
      <x:c r="D37" s="53" t="str">
        <x:v>Balatro有官方iPhone/iPad移动版本，页面显示为付费购买，说明移动端不等于免费游戏。</x:v>
      </x:c>
      <x:c r="E37" s="53" t="str">
        <x:v>不据此推导销量、移动玩家耐心、完整版本平衡或适用的随机强度。</x:v>
      </x:c>
      <x:c r="F37" s="53" t="str">
        <x:v>商品价格/开发者区与官方介绍</x:v>
      </x:c>
      <x:c r="G37" s="76" t="str">
        <x:v>https://apps.apple.com/us/app/balatro/id6502453075</x:v>
      </x:c>
      <x:c r="H37" s="38"/>
    </x:row>
    <x:row r="38" ht="45" customHeight="1">
      <x:c r="A38" s="56" t="str">
        <x:v>S6</x:v>
      </x:c>
      <x:c r="B38" s="58" t="str">
        <x:v>Create, destroy, and rewind in Viewfinder</x:v>
      </x:c>
      <x:c r="C38" s="52" t="str">
        <x:v>Sad Owl Studios联合创始人Gwen Foster在PlayStation官方博客的开发说明</x:v>
      </x:c>
      <x:c r="D38" s="52" t="str">
        <x:v>Viewfinder已有照片和相机改造现实的机制；开发者说明加入回退是为了减少死局并鼓励试错。</x:v>
      </x:c>
      <x:c r="E38" s="52" t="str">
        <x:v>不证明候选113没有任何差异；只说明“照片展开成场景”已存在明确相邻机制。</x:v>
      </x:c>
      <x:c r="F38" s="52" t="str">
        <x:v>正文前半，作者署名及照片机制/回退说明</x:v>
      </x:c>
      <x:c r="G38" s="75" t="str">
        <x:v>https://blog.playstation.com/2023/06/08/create-destroy-and-rewind-in-viewfinder-out-july-18-play-the-demo-today/</x:v>
      </x:c>
      <x:c r="H38" s="38"/>
    </x:row>
    <x:row r="39" ht="45" customHeight="1">
      <x:c r="A39" s="57" t="str">
        <x:v>S7</x:v>
      </x:c>
      <x:c r="B39" s="59" t="str">
        <x:v>Mate’Morphosis — Steam</x:v>
      </x:c>
      <x:c r="C39" s="53" t="str">
        <x:v>开发者官方商店描述</x:v>
      </x:c>
      <x:c r="D39" s="53" t="str">
        <x:v>既有棋类解谜明确采用吃掉棋子后变成该棋子、改变后续移动方式的机制。</x:v>
      </x:c>
      <x:c r="E39" s="53" t="str">
        <x:v>与候选1的多能力保留和有限槽位不是同一完整设计；不能直接称完全重复，也不能称吃子改变走法是原创。</x:v>
      </x:c>
      <x:c r="F39" s="53" t="str">
        <x:v>About This Game / BECOME WHAT YOU CAPTURE</x:v>
      </x:c>
      <x:c r="G39" s="76" t="str">
        <x:v>https://store.steampowered.com/app/3863030/MateMorphosis/</x:v>
      </x:c>
      <x:c r="H39" s="38"/>
    </x:row>
    <x:row r="40" ht="45" customHeight="1">
      <x:c r="A40" s="56" t="str">
        <x:v>S8</x:v>
      </x:c>
      <x:c r="B40" s="58" t="str">
        <x:v>Another Crab’s Treasure — Steam</x:v>
      </x:c>
      <x:c r="C40" s="52" t="str">
        <x:v>Aggro Crab官方商店描述</x:v>
      </x:c>
      <x:c r="D40" s="52" t="str">
        <x:v>既有作品让寄居蟹穿周围垃圾当壳抵御攻击，并提供多种壳及战斗能力。</x:v>
      </x:c>
      <x:c r="E40" s="52" t="str">
        <x:v>不证明候选97的全部装配和潮汐规则已经被做过；需要比较核心决策，不能只凭题材判重复或原创。</x:v>
      </x:c>
      <x:c r="F40" s="52" t="str">
        <x:v>About This Game与特色列表</x:v>
      </x:c>
      <x:c r="G40" s="75" t="str">
        <x:v>https://store.steampowered.com/app/1887840/Another_Crabs_Treasure/</x:v>
      </x:c>
      <x:c r="H40" s="38"/>
    </x:row>
    <x:row r="41" ht="18" customHeight="1">
      <x:c r="A41" s="38"/>
      <x:c r="B41" s="38"/>
      <x:c r="C41" s="38"/>
      <x:c r="D41" s="38"/>
      <x:c r="E41" s="38"/>
      <x:c r="F41" s="38"/>
      <x:c r="G41" s="38"/>
      <x:c r="H41" s="38"/>
    </x:row>
    <x:row r="42" ht="24.75" customHeight="1">
      <x:c r="A42" s="74" t="str">
        <x:v>原版相邻作品参考</x:v>
      </x:c>
      <x:c r="B42" s="74"/>
      <x:c r="C42" s="74"/>
      <x:c r="D42" s="74"/>
      <x:c r="E42" s="74"/>
      <x:c r="F42" s="74"/>
      <x:c r="G42" s="74"/>
      <x:c r="H42" s="74"/>
    </x:row>
    <x:row r="43" ht="28.5" customHeight="1">
      <x:c r="A43" s="46" t="str">
        <x:v>序号</x:v>
      </x:c>
      <x:c r="B43" s="47" t="str">
        <x:v>领域</x:v>
      </x:c>
      <x:c r="C43" s="47" t="str">
        <x:v>相邻作品</x:v>
      </x:c>
      <x:c r="D43" s="47" t="str">
        <x:v>原版参考描述</x:v>
      </x:c>
      <x:c r="E43" s="48" t="str">
        <x:v>链接</x:v>
      </x:c>
      <x:c r="F43" s="38"/>
      <x:c r="G43" s="38"/>
      <x:c r="H43" s="38"/>
    </x:row>
    <x:row r="44" ht="45" customHeight="1">
      <x:c r="A44" s="56" t="n">
        <x:v>1</x:v>
      </x:c>
      <x:c r="B44" s="58" t="str">
        <x:v>麻将构筑</x:v>
      </x:c>
      <x:c r="C44" s="52" t="str">
        <x:v>Aotenjo: Infinite Hands</x:v>
      </x:c>
      <x:c r="D44" s="52" t="str">
        <x:v>官方描述为麻将与构筑结合。麻将入口本身已有相邻作品。</x:v>
      </x:c>
      <x:c r="E44" s="52" t="str">
        <x:v>https://store.steampowered.com/app/3066570/Aotenjo_Infinite_Hands/</x:v>
      </x:c>
      <x:c r="F44" s="38"/>
      <x:c r="G44" s="38"/>
      <x:c r="H44" s="38"/>
    </x:row>
    <x:row r="45" ht="45" customHeight="1">
      <x:c r="A45" s="57" t="n">
        <x:v>2</x:v>
      </x:c>
      <x:c r="B45" s="59" t="str">
        <x:v>抓取构筑</x:v>
      </x:c>
      <x:c r="C45" s="53" t="str">
        <x:v>Dungeon Clawler</x:v>
      </x:c>
      <x:c r="D45" s="53" t="str">
        <x:v>官方描述为抓娃娃机与武器、物品构筑战斗结合。</x:v>
      </x:c>
      <x:c r="E45" s="53" t="str">
        <x:v>https://store.steampowered.com/app/2356780/Dungeon_Clawler/</x:v>
      </x:c>
      <x:c r="F45" s="38"/>
      <x:c r="G45" s="38"/>
      <x:c r="H45" s="38"/>
    </x:row>
    <x:row r="46" ht="45" customHeight="1">
      <x:c r="A46" s="56" t="n">
        <x:v>3</x:v>
      </x:c>
      <x:c r="B46" s="58" t="str">
        <x:v>物理弹珠构筑</x:v>
      </x:c>
      <x:c r="C46" s="52" t="str">
        <x:v>Ballionaire</x:v>
      </x:c>
      <x:c r="D46" s="52" t="str">
        <x:v>官方描述强调物理碰撞、组合与构筑。</x:v>
      </x:c>
      <x:c r="E46" s="52" t="str">
        <x:v>https://store.steampowered.com/app/2667120/Ballionaire/</x:v>
      </x:c>
      <x:c r="F46" s="38"/>
      <x:c r="G46" s="38"/>
      <x:c r="H46" s="38"/>
    </x:row>
    <x:row r="47" ht="45" customHeight="1">
      <x:c r="A47" s="57" t="n">
        <x:v>4</x:v>
      </x:c>
      <x:c r="B47" s="59" t="str">
        <x:v>落块与建设</x:v>
      </x:c>
      <x:c r="C47" s="53" t="str">
        <x:v>Drop Duchy</x:v>
      </x:c>
      <x:c r="D47" s="53" t="str">
        <x:v>官方描述将落块、资源、军队与构筑结合。</x:v>
      </x:c>
      <x:c r="E47" s="53" t="str">
        <x:v>https://store.steampowered.com/app/2525310/Drop_Duchy/</x:v>
      </x:c>
      <x:c r="F47" s="38"/>
      <x:c r="G47" s="38"/>
      <x:c r="H47" s="38"/>
    </x:row>
    <x:row r="48" ht="45" customHeight="1">
      <x:c r="A48" s="56" t="n">
        <x:v>5</x:v>
      </x:c>
      <x:c r="B48" s="58" t="str">
        <x:v>棋盘规则反转</x:v>
      </x:c>
      <x:c r="C48" s="52" t="str">
        <x:v>Shotgun King: The Final Checkmate</x:v>
      </x:c>
      <x:c r="D48" s="52" t="str">
        <x:v>官方描述为棋盘规则与持霰弹枪的国王结合。</x:v>
      </x:c>
      <x:c r="E48" s="52" t="str">
        <x:v>https://store.steampowered.com/app/1972440/Shotgun_King_The_Final_Checkmate/</x:v>
      </x:c>
      <x:c r="F48" s="38"/>
      <x:c r="G48" s="38"/>
      <x:c r="H48" s="38"/>
    </x:row>
    <x:row r="49" ht="18" customHeight="1">
      <x:c r="A49" s="38"/>
      <x:c r="B49" s="38"/>
      <x:c r="C49" s="38"/>
      <x:c r="D49" s="38"/>
      <x:c r="E49" s="38"/>
      <x:c r="F49" s="38"/>
      <x:c r="G49" s="38"/>
      <x:c r="H49" s="38"/>
    </x:row>
    <x:row r="50" ht="24.75" customHeight="1">
      <x:c r="A50" s="74" t="str">
        <x:v>复审口径与版本说明</x:v>
      </x:c>
      <x:c r="B50" s="74"/>
      <x:c r="C50" s="74"/>
      <x:c r="D50" s="74"/>
      <x:c r="E50" s="74"/>
      <x:c r="F50" s="74"/>
      <x:c r="G50" s="74"/>
      <x:c r="H50" s="74"/>
    </x:row>
    <x:row r="51" ht="28.5" customHeight="1">
      <x:c r="A51" s="46" t="str">
        <x:v>标记</x:v>
      </x:c>
      <x:c r="B51" s="47" t="str">
        <x:v>事项</x:v>
      </x:c>
      <x:c r="C51" s="48" t="str">
        <x:v>说明</x:v>
      </x:c>
      <x:c r="D51" s="38"/>
      <x:c r="E51" s="38"/>
      <x:c r="F51" s="38"/>
      <x:c r="G51" s="38"/>
      <x:c r="H51" s="38"/>
    </x:row>
    <x:row r="52" ht="45" customHeight="1">
      <x:c r="A52" s="56" t="str">
        <x:v>M01</x:v>
      </x:c>
      <x:c r="B52" s="58" t="str">
        <x:v>复审范围</x:v>
      </x:c>
      <x:c r="C52" s="52" t="str">
        <x:v>本轮按小团队可完成核心原型验证筛选。平台、商业模式、完整制作预算尚未指定，不默认免费手游或UE重制作。</x:v>
      </x:c>
      <x:c r="D52" s="38"/>
      <x:c r="E52" s="38"/>
      <x:c r="F52" s="38"/>
      <x:c r="G52" s="38"/>
      <x:c r="H52" s="38"/>
    </x:row>
    <x:row r="53" ht="57.75" customHeight="1">
      <x:c r="A53" s="57" t="str">
        <x:v>M02</x:v>
      </x:c>
      <x:c r="B53" s="59" t="str">
        <x:v>证据状态</x:v>
      </x:c>
      <x:c r="C53" s="53" t="str">
        <x:v>全部候选均为纸面设计假设，尚未完成玩家实测。保留表示值得验证，移出表示当前提案依据不足，暂缓表示需另一类受众或制作条件。</x:v>
      </x:c>
      <x:c r="D53" s="38"/>
      <x:c r="E53" s="38"/>
      <x:c r="F53" s="38"/>
      <x:c r="G53" s="38"/>
      <x:c r="H53" s="38"/>
    </x:row>
    <x:row r="54" ht="45" customHeight="1">
      <x:c r="A54" s="56" t="str">
        <x:v>M03</x:v>
      </x:c>
      <x:c r="B54" s="58" t="str">
        <x:v>合并边界</x:v>
      </x:c>
      <x:c r="C54" s="52" t="str">
        <x:v>合并只保留可用的动作、组件或替代包装，相关模块需要逐项验证后再加入主方案。</x:v>
      </x:c>
      <x:c r="D54" s="38"/>
      <x:c r="E54" s="38"/>
      <x:c r="F54" s="38"/>
      <x:c r="G54" s="38"/>
      <x:c r="H54" s="38"/>
    </x:row>
    <x:row r="55" ht="57.75" customHeight="1">
      <x:c r="A55" s="57" t="str">
        <x:v>M04</x:v>
      </x:c>
      <x:c r="B55" s="59" t="str">
        <x:v>系统的含义</x:v>
      </x:c>
      <x:c r="C55" s="53" t="str">
        <x:v>原文3.1指开发者持续创作和学习的系统。游戏内仍需清楚目标；设计规则系统的延伸，是让有限规则在玩家选择下持续生成不同局面。</x:v>
      </x:c>
      <x:c r="D55" s="38"/>
      <x:c r="E55" s="38"/>
      <x:c r="F55" s="38"/>
      <x:c r="G55" s="38"/>
      <x:c r="H55" s="38"/>
    </x:row>
    <x:row r="56" ht="45" customHeight="1">
      <x:c r="A56" s="56" t="str">
        <x:v>M05</x:v>
      </x:c>
      <x:c r="B56" s="58" t="str">
        <x:v>原型顺序</x:v>
      </x:c>
      <x:c r="C56" s="52" t="str">
        <x:v>首批3项按32→13→51顺序验证；后续28项是供选择的候选，不同时立项。</x:v>
      </x:c>
      <x:c r="D56" s="38"/>
      <x:c r="E56" s="38"/>
      <x:c r="F56" s="38"/>
      <x:c r="G56" s="38"/>
      <x:c r="H56" s="38"/>
    </x:row>
    <x:row r="57" ht="45" customHeight="1">
      <x:c r="A57" s="57" t="str">
        <x:v>M06</x:v>
      </x:c>
      <x:c r="B57" s="59" t="str">
        <x:v>原创性边界</x:v>
      </x:c>
      <x:c r="C57" s="53" t="str">
        <x:v>只核对了少量关键相邻作品，没有逐项完成120个方案的市场原创性检索。</x:v>
      </x:c>
      <x:c r="D57" s="38"/>
      <x:c r="E57" s="38"/>
      <x:c r="F57" s="38"/>
      <x:c r="G57" s="38"/>
      <x:c r="H57" s="38"/>
    </x:row>
    <x:row r="58" ht="45" customHeight="1">
      <x:c r="A58" s="56" t="str">
        <x:v>M07</x:v>
      </x:c>
      <x:c r="B58" s="58" t="str">
        <x:v>归档范围</x:v>
      </x:c>
      <x:c r="C58" s="52" t="str">
        <x:v>保留原120项全部字段及原12个重点方案，旧编号不变；新增编号121–126。</x:v>
      </x:c>
      <x:c r="D58" s="38"/>
      <x:c r="E58" s="38"/>
      <x:c r="F58" s="38"/>
      <x:c r="G58" s="38"/>
      <x:c r="H58" s="38"/>
    </x:row>
    <x:row r="59" ht="45" customHeight="1">
      <x:c r="A59" s="57" t="str">
        <x:v>M08</x:v>
      </x:c>
      <x:c r="B59" s="59" t="str">
        <x:v>处理口径：保留深化</x:v>
      </x:c>
      <x:c r="C59" s="53" t="str">
        <x:v>保留核心，补齐约束与证伪条件；进入主候选池，仍未实测。</x:v>
      </x:c>
      <x:c r="D59" s="38"/>
      <x:c r="E59" s="38"/>
      <x:c r="F59" s="38"/>
      <x:c r="G59" s="38"/>
      <x:c r="H59" s="38"/>
    </x:row>
    <x:row r="60" ht="45" customHeight="1">
      <x:c r="A60" s="56" t="str">
        <x:v>M09</x:v>
      </x:c>
      <x:c r="B60" s="58" t="str">
        <x:v>处理口径：重构</x:v>
      </x:c>
      <x:c r="C60" s="52" t="str">
        <x:v>原案不能直接推进；21项中9项以收缩后的循环进入主候选，12项留机制储备。</x:v>
      </x:c>
      <x:c r="D60" s="38"/>
      <x:c r="E60" s="38"/>
      <x:c r="F60" s="38"/>
      <x:c r="G60" s="38"/>
      <x:c r="H60" s="38"/>
    </x:row>
    <x:row r="61" ht="45" customHeight="1">
      <x:c r="A61" s="57" t="str">
        <x:v>M10</x:v>
      </x:c>
      <x:c r="B61" s="59" t="str">
        <x:v>处理口径：合并</x:v>
      </x:c>
      <x:c r="C61" s="53" t="str">
        <x:v>停止作为独立项目，只保留可选模块或替代包装；合并不表示加入首版。</x:v>
      </x:c>
      <x:c r="D61" s="38"/>
      <x:c r="E61" s="38"/>
      <x:c r="F61" s="38"/>
      <x:c r="G61" s="38"/>
      <x:c r="H61" s="38"/>
    </x:row>
    <x:row r="62" ht="45" customHeight="1">
      <x:c r="A62" s="56" t="str">
        <x:v>M11</x:v>
      </x:c>
      <x:c r="B62" s="58" t="str">
        <x:v>处理口径：暂缓</x:v>
      </x:c>
      <x:c r="C62" s="52" t="str">
        <x:v>需先解决已写明的体验、受众或实现问题，当前不进主候选。</x:v>
      </x:c>
      <x:c r="D62" s="38"/>
      <x:c r="E62" s="38"/>
      <x:c r="F62" s="38"/>
      <x:c r="G62" s="38"/>
      <x:c r="H62" s="38"/>
    </x:row>
    <x:row r="63" ht="45" customHeight="1">
      <x:c r="A63" s="57" t="str">
        <x:v>M12</x:v>
      </x:c>
      <x:c r="B63" s="59" t="str">
        <x:v>处理口径：移出</x:v>
      </x:c>
      <x:c r="C63" s="53" t="str">
        <x:v>当前方案依据不足，本轮停止投入；不声称技术上永远不可行。</x:v>
      </x:c>
      <x:c r="D63" s="38"/>
      <x:c r="E63" s="38"/>
      <x:c r="F63" s="38"/>
      <x:c r="G63" s="38"/>
      <x:c r="H63" s="38"/>
    </x:row>
    <x:row r="64" ht="45" customHeight="1">
      <x:c r="A64" s="56" t="str">
        <x:v>M13</x:v>
      </x:c>
      <x:c r="B64" s="58" t="str">
        <x:v>本轮版本</x:v>
      </x:c>
      <x:c r="C64" s="52" t="str">
        <x:v>第二轮完整复审</x:v>
      </x:c>
      <x:c r="D64" s="38"/>
      <x:c r="E64" s="38"/>
      <x:c r="F64" s="38"/>
      <x:c r="G64" s="38"/>
      <x:c r="H64" s="38"/>
    </x:row>
    <x:row r="65" ht="45" customHeight="1">
      <x:c r="A65" s="57" t="str">
        <x:v>O01</x:v>
      </x:c>
      <x:c r="B65" s="59" t="str">
        <x:v>原版标题</x:v>
      </x:c>
      <x:c r="C65" s="53" t="str">
        <x:v>熟悉与意外：120个游戏方案</x:v>
      </x:c>
      <x:c r="D65" s="38"/>
      <x:c r="E65" s="38"/>
      <x:c r="F65" s="38"/>
      <x:c r="G65" s="38"/>
      <x:c r="H65" s="38"/>
    </x:row>
    <x:row r="66" ht="45" customHeight="1">
      <x:c r="A66" s="56" t="str">
        <x:v>O02</x:v>
      </x:c>
      <x:c r="B66" s="58" t="str">
        <x:v>原版日期</x:v>
      </x:c>
      <x:c r="C66" s="52" t="str">
        <x:v>2026-10-08</x:v>
      </x:c>
      <x:c r="D66" s="38"/>
      <x:c r="E66" s="38"/>
      <x:c r="F66" s="38"/>
      <x:c r="G66" s="38"/>
      <x:c r="H66" s="38"/>
    </x:row>
    <x:row r="67" ht="57.75" customHeight="1">
      <x:c r="A67" s="57" t="str">
        <x:v>O03</x:v>
      </x:c>
      <x:c r="B67" s="59" t="str">
        <x:v>原版范围说明</x:v>
      </x:c>
      <x:c r="C67" s="53" t="str">
        <x:v>创意方案草案。优先级是按入口、规则可读性和原型范围做的主观筛选，不是销量预测。方案未作逐一市场新颖性检索。</x:v>
      </x:c>
      <x:c r="D67" s="38"/>
      <x:c r="E67" s="38"/>
      <x:c r="F67" s="38"/>
      <x:c r="G67" s="38"/>
      <x:c r="H67" s="38"/>
    </x:row>
    <x:row r="68" ht="45" customHeight="1">
      <x:c r="A68" s="56" t="str">
        <x:v>O04</x:v>
      </x:c>
      <x:c r="B68" s="58" t="str">
        <x:v>原版设计思路</x:v>
      </x:c>
      <x:c r="C68" s="52" t="str">
        <x:v>熟悉的动作或规则，叠加一次明确反转，再用可组合资源与清晰反馈支撑重复游玩。</x:v>
      </x:c>
      <x:c r="D68" s="38"/>
      <x:c r="E68" s="38"/>
      <x:c r="F68" s="38"/>
      <x:c r="G68" s="38"/>
      <x:c r="H68" s="38"/>
    </x:row>
    <x:row r="69" ht="57.75" customHeight="1">
      <x:c r="A69" s="57" t="str">
        <x:v>O05</x:v>
      </x:c>
      <x:c r="B69" s="59" t="str">
        <x:v>原版成本口径</x:v>
      </x:c>
      <x:c r="C69" s="53" t="str">
        <x:v>小：以二维界面和离散规则验证。中：增加物理、动作或动态空间交互。大：依赖较复杂的场景或形态变化。均指相对原型范围，非完整制作预算。</x:v>
      </x:c>
      <x:c r="D69" s="38"/>
      <x:c r="E69" s="38"/>
      <x:c r="F69" s="38"/>
      <x:c r="G69" s="38"/>
      <x:c r="H69" s="38"/>
    </x:row>
    <x:row r="70" ht="45" customHeight="1">
      <x:c r="A70" s="56" t="str">
        <x:v>O06</x:v>
      </x:c>
      <x:c r="B70" s="58" t="str">
        <x:v>原版首轮 ID</x:v>
      </x:c>
      <x:c r="C70" s="52" t="str">
        <x:v>41、32、51</x:v>
      </x:c>
      <x:c r="D70" s="38"/>
      <x:c r="E70" s="38"/>
      <x:c r="F70" s="38"/>
      <x:c r="G70" s="38"/>
      <x:c r="H70" s="38"/>
    </x:row>
  </x:sheetData>
  <x:pageMargins left="0.7" right="0.7" top="0.75" bottom="0.75" header="0.3" footer="0.3"/>
  <x:tableParts count="5">
    <x:tablePart xmlns:r="http://schemas.openxmlformats.org/officeDocument/2006/relationships" r:id="R27e8889635a24c6c"/>
    <x:tablePart xmlns:r="http://schemas.openxmlformats.org/officeDocument/2006/relationships" r:id="R36fc9151220541bf"/>
    <x:tablePart xmlns:r="http://schemas.openxmlformats.org/officeDocument/2006/relationships" r:id="Rba54c21cec7c4b7f"/>
    <x:tablePart xmlns:r="http://schemas.openxmlformats.org/officeDocument/2006/relationships" r:id="Rf51342249ca94191"/>
    <x:tablePart xmlns:r="http://schemas.openxmlformats.org/officeDocument/2006/relationships" r:id="Rc4c02b40f8c44f75"/>
  </x:tableParts>
</x:worksheet>
</file>